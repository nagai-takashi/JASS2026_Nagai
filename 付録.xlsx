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農環研_研究\☆投稿論文\48_農業経営費の時系列変化\"/>
    </mc:Choice>
  </mc:AlternateContent>
  <xr:revisionPtr revIDLastSave="0" documentId="13_ncr:1_{6069D2D0-488A-43F5-8830-446B4E007A6C}" xr6:coauthVersionLast="47" xr6:coauthVersionMax="47" xr10:uidLastSave="{00000000-0000-0000-0000-000000000000}"/>
  <bookViews>
    <workbookView xWindow="-120" yWindow="-120" windowWidth="29040" windowHeight="28320" xr2:uid="{731424E0-8EFA-469D-9C40-052B534C88ED}"/>
  </bookViews>
  <sheets>
    <sheet name="付表説明" sheetId="6" r:id="rId1"/>
    <sheet name="付表1" sheetId="3" r:id="rId2"/>
    <sheet name="付表2" sheetId="2" r:id="rId3"/>
    <sheet name="付表3" sheetId="4" r:id="rId4"/>
    <sheet name="付表4" sheetId="1" r:id="rId5"/>
  </sheets>
  <definedNames>
    <definedName name="・函館" localSheetId="3">#REF!</definedName>
    <definedName name="・函館">#REF!</definedName>
    <definedName name="・北見" localSheetId="3">#REF!</definedName>
    <definedName name="・北見">#REF!</definedName>
    <definedName name="A原数" localSheetId="3">#REF!</definedName>
    <definedName name="A原数">#REF!</definedName>
    <definedName name="B基本ウェイト" localSheetId="3">#REF!</definedName>
    <definedName name="B基本ウェイト">#REF!</definedName>
    <definedName name="C調製ウェイト" localSheetId="3">#REF!</definedName>
    <definedName name="C調製ウェイト">#REF!</definedName>
    <definedName name="DATA" localSheetId="3">#REF!</definedName>
    <definedName name="DATA">#REF!</definedName>
    <definedName name="ｄｅｌ" localSheetId="3">#REF!,#REF!,#REF!,#REF!,#REF!,#REF!,#REF!,#REF!,#REF!,#REF!,#REF!,#REF!,#REF!,#REF!,#REF!,#REF!,#REF!,#REF!</definedName>
    <definedName name="ｄｅｌ">#REF!,#REF!,#REF!,#REF!,#REF!,#REF!,#REF!,#REF!,#REF!,#REF!,#REF!,#REF!,#REF!,#REF!,#REF!,#REF!,#REF!,#REF!</definedName>
    <definedName name="H貼付位置" localSheetId="3">#REF!</definedName>
    <definedName name="H貼付位置">#REF!</definedName>
    <definedName name="Ｈ貼付範囲" localSheetId="3">#REF!</definedName>
    <definedName name="Ｈ貼付範囲">#REF!</definedName>
    <definedName name="H編集領域" localSheetId="3">#REF!</definedName>
    <definedName name="H編集領域">#REF!</definedName>
    <definedName name="S集計領域" localSheetId="3">#REF!</definedName>
    <definedName name="S集計領域">#REF!</definedName>
    <definedName name="あ" localSheetId="3">#REF!</definedName>
    <definedName name="あ">#REF!</definedName>
    <definedName name="あか" localSheetId="3">#REF!,#REF!,#REF!,#REF!,#REF!,#REF!,#REF!,#REF!,#REF!,#REF!,#REF!,#REF!,#REF!,#REF!,#REF!,#REF!,#REF!,#REF!</definedName>
    <definedName name="あか">#REF!,#REF!,#REF!,#REF!,#REF!,#REF!,#REF!,#REF!,#REF!,#REF!,#REF!,#REF!,#REF!,#REF!,#REF!,#REF!,#REF!,#REF!</definedName>
    <definedName name="あき" localSheetId="3">#REF!</definedName>
    <definedName name="あき">#REF!</definedName>
    <definedName name="あす" localSheetId="3">#REF!,#REF!,#REF!,#REF!,#REF!,#REF!,#REF!,#REF!,#REF!,#REF!,#REF!,#REF!,#REF!,#REF!,#REF!,#REF!,#REF!,#REF!</definedName>
    <definedName name="あす">#REF!,#REF!,#REF!,#REF!,#REF!,#REF!,#REF!,#REF!,#REF!,#REF!,#REF!,#REF!,#REF!,#REF!,#REF!,#REF!,#REF!,#REF!</definedName>
    <definedName name="ちち" localSheetId="3">#REF!</definedName>
    <definedName name="ちち">#REF!</definedName>
    <definedName name="マスタ_2020年2月" localSheetId="3">#REF!</definedName>
    <definedName name="マスタ_2020年2月">#REF!</definedName>
    <definedName name="マスタ_2020年3月" localSheetId="3">#REF!</definedName>
    <definedName name="マスタ_2020年3月">#REF!</definedName>
    <definedName name="マスタ_2021年1月" localSheetId="3">#REF!</definedName>
    <definedName name="マスタ_2021年1月">#REF!</definedName>
    <definedName name="印刷" localSheetId="3">#REF!</definedName>
    <definedName name="印刷">#REF!</definedName>
    <definedName name="基本ｳｪｲﾄ" localSheetId="3">#REF!</definedName>
    <definedName name="基本ｳｪｲﾄ">#REF!</definedName>
    <definedName name="削除" localSheetId="3">#REF!,#REF!,#REF!,#REF!,#REF!,#REF!,#REF!,#REF!,#REF!,#REF!,#REF!,#REF!,#REF!,#REF!,#REF!,#REF!,#REF!,#REF!</definedName>
    <definedName name="削除">#REF!,#REF!,#REF!,#REF!,#REF!,#REF!,#REF!,#REF!,#REF!,#REF!,#REF!,#REF!,#REF!,#REF!,#REF!,#REF!,#REF!,#REF!</definedName>
    <definedName name="指標" localSheetId="3">#REF!</definedName>
    <definedName name="指標">#REF!</definedName>
    <definedName name="直線" localSheetId="3">#REF!</definedName>
    <definedName name="直線">#REF!</definedName>
    <definedName name="統計表" localSheetId="3">#REF!</definedName>
    <definedName name="統計表">#REF!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4" l="1"/>
  <c r="F28" i="4"/>
  <c r="F27" i="4"/>
  <c r="F26" i="4"/>
  <c r="F25" i="4"/>
  <c r="F24" i="4"/>
  <c r="F23" i="4"/>
  <c r="F22" i="4"/>
  <c r="F21" i="4"/>
  <c r="F20" i="4"/>
  <c r="F19" i="4"/>
  <c r="F18" i="4"/>
  <c r="F17" i="4"/>
  <c r="F16" i="4"/>
  <c r="F15" i="4"/>
  <c r="F14" i="4"/>
  <c r="F13" i="4"/>
  <c r="F12" i="4"/>
  <c r="F11" i="4"/>
  <c r="F10" i="4"/>
  <c r="F9" i="4"/>
  <c r="F8" i="4"/>
  <c r="F7" i="4"/>
  <c r="F6" i="4"/>
  <c r="F5" i="4"/>
  <c r="F4" i="4"/>
  <c r="F3" i="4"/>
  <c r="F2" i="4"/>
</calcChain>
</file>

<file path=xl/sharedStrings.xml><?xml version="1.0" encoding="utf-8"?>
<sst xmlns="http://schemas.openxmlformats.org/spreadsheetml/2006/main" count="736" uniqueCount="285">
  <si>
    <t>花き</t>
    <rPh sb="0" eb="1">
      <t>カ</t>
    </rPh>
    <phoneticPr fontId="1"/>
  </si>
  <si>
    <t>鉢物_シクラメン施設</t>
  </si>
  <si>
    <t>シクラメン(鉢物)</t>
  </si>
  <si>
    <t>切り花_カーネーション施設</t>
  </si>
  <si>
    <t>カーネーション(切花)</t>
  </si>
  <si>
    <t>切り花_ばら施設</t>
  </si>
  <si>
    <t>ばら(切花)</t>
  </si>
  <si>
    <t>切り花_きく施設</t>
  </si>
  <si>
    <t>きく(切花)</t>
  </si>
  <si>
    <t>切り花_きく露地</t>
  </si>
  <si>
    <t>果樹</t>
    <rPh sb="0" eb="2">
      <t>カジュ</t>
    </rPh>
    <phoneticPr fontId="1"/>
  </si>
  <si>
    <t>なつみかん</t>
  </si>
  <si>
    <t>なつみかん(甘なつ)</t>
  </si>
  <si>
    <t>すもも</t>
  </si>
  <si>
    <t>くり</t>
  </si>
  <si>
    <t>うめ</t>
  </si>
  <si>
    <t>いよかん</t>
  </si>
  <si>
    <t>キウイフルーツ</t>
  </si>
  <si>
    <t>おうとう</t>
  </si>
  <si>
    <t>かき</t>
  </si>
  <si>
    <t>もも</t>
  </si>
  <si>
    <t>日本なし</t>
  </si>
  <si>
    <t>なし</t>
  </si>
  <si>
    <t>ぶどう</t>
  </si>
  <si>
    <t>みかん</t>
  </si>
  <si>
    <t>りんご</t>
  </si>
  <si>
    <t>根菜</t>
    <rPh sb="0" eb="2">
      <t>コンサイ</t>
    </rPh>
    <phoneticPr fontId="1"/>
  </si>
  <si>
    <t>さといも年産露地</t>
  </si>
  <si>
    <t>さといも</t>
  </si>
  <si>
    <t>にんじん冬露地</t>
  </si>
  <si>
    <t>にんじん</t>
  </si>
  <si>
    <t>にんじん秋露地</t>
  </si>
  <si>
    <t>にんじん春夏露地</t>
  </si>
  <si>
    <t>にんじん年産露地</t>
  </si>
  <si>
    <t>だいこん秋冬露地</t>
  </si>
  <si>
    <t>だいこん</t>
  </si>
  <si>
    <t>だいこん夏露地</t>
  </si>
  <si>
    <t>だいこん春露地</t>
  </si>
  <si>
    <t>だいこん年産露地</t>
  </si>
  <si>
    <t>葉茎菜</t>
    <rPh sb="0" eb="1">
      <t>ハ</t>
    </rPh>
    <rPh sb="1" eb="2">
      <t>クキ</t>
    </rPh>
    <rPh sb="2" eb="3">
      <t>ナ</t>
    </rPh>
    <phoneticPr fontId="1"/>
  </si>
  <si>
    <t>青ねぎ秋冬施設</t>
  </si>
  <si>
    <t>ねぎ(青ねぎ)</t>
  </si>
  <si>
    <t>青ねぎ夏施設</t>
  </si>
  <si>
    <t>青ねぎ春施設</t>
  </si>
  <si>
    <t>青ねぎ年産施設</t>
  </si>
  <si>
    <t>青ねぎ秋冬露地</t>
  </si>
  <si>
    <t>青ねぎ夏露地</t>
  </si>
  <si>
    <t>青ねぎ春露地</t>
  </si>
  <si>
    <t>青ねぎ年産露地</t>
  </si>
  <si>
    <t>白ねぎ秋冬露地</t>
  </si>
  <si>
    <t>ねぎ(白ねぎ)</t>
  </si>
  <si>
    <t>白ねぎ夏露地</t>
  </si>
  <si>
    <t>白ねぎ春露地</t>
  </si>
  <si>
    <t>白ねぎ年産露地</t>
  </si>
  <si>
    <t>にんにく年産露地</t>
  </si>
  <si>
    <t>にんにく</t>
  </si>
  <si>
    <t>たまねぎ年産露地</t>
  </si>
  <si>
    <t>たまねぎ</t>
  </si>
  <si>
    <t>ほうれんそう年産露地</t>
  </si>
  <si>
    <t>ほうれんそう</t>
  </si>
  <si>
    <t>はくさい秋冬露地</t>
  </si>
  <si>
    <t>はくさい</t>
  </si>
  <si>
    <t>はくさい夏露地</t>
  </si>
  <si>
    <t>はくさい春露地</t>
  </si>
  <si>
    <t>はくさい年産露地</t>
  </si>
  <si>
    <t>レタス冬露地</t>
  </si>
  <si>
    <t>レタス</t>
  </si>
  <si>
    <t>レタス夏秋露地</t>
  </si>
  <si>
    <t>レタス春露地</t>
  </si>
  <si>
    <t>レタス年産露地</t>
  </si>
  <si>
    <t>キャベツ冬露地</t>
  </si>
  <si>
    <t>キャベツ</t>
  </si>
  <si>
    <t>キャベツ夏秋露地</t>
  </si>
  <si>
    <t>キャベツ春露地</t>
  </si>
  <si>
    <t>キャベツ年産露地</t>
  </si>
  <si>
    <t>果菜等</t>
    <rPh sb="0" eb="2">
      <t>カサイ</t>
    </rPh>
    <rPh sb="2" eb="3">
      <t>ナド</t>
    </rPh>
    <phoneticPr fontId="1"/>
  </si>
  <si>
    <t>いちご年産施設</t>
  </si>
  <si>
    <t>いちご</t>
  </si>
  <si>
    <t>メロン年産施設</t>
  </si>
  <si>
    <t>メロン(温室メロン)</t>
  </si>
  <si>
    <t>メロン年産露地</t>
  </si>
  <si>
    <t>メロン(アンデスメロン)</t>
  </si>
  <si>
    <t>すいか年産施設</t>
  </si>
  <si>
    <t>すいか</t>
  </si>
  <si>
    <t>すいか年産露地</t>
  </si>
  <si>
    <t>ミニトマト冬春施設</t>
  </si>
  <si>
    <t>トマト</t>
  </si>
  <si>
    <t>ミニトマト夏秋施設</t>
  </si>
  <si>
    <t>ミニトマト年産施設</t>
  </si>
  <si>
    <t>ミニトマト夏秋露地</t>
  </si>
  <si>
    <t>大玉トマト冬春施設</t>
  </si>
  <si>
    <t>大玉トマト夏秋施設</t>
  </si>
  <si>
    <t>大玉トマト年産施設</t>
  </si>
  <si>
    <t>大玉トマト夏秋露地</t>
  </si>
  <si>
    <t>ピーマン冬春施設</t>
  </si>
  <si>
    <t>ピーマン</t>
  </si>
  <si>
    <t>ピーマン夏秋施設</t>
  </si>
  <si>
    <t>ピーマン年産施設</t>
  </si>
  <si>
    <t>ピーマン夏秋露地</t>
  </si>
  <si>
    <t>なす冬春施設</t>
  </si>
  <si>
    <t>なす</t>
  </si>
  <si>
    <t>なす夏秋露地</t>
  </si>
  <si>
    <t>きゅうり冬春施設</t>
  </si>
  <si>
    <t>きゅうり</t>
  </si>
  <si>
    <t>きゅうり夏秋施設</t>
  </si>
  <si>
    <t>きゅうり年産施設</t>
  </si>
  <si>
    <t>きゅうり夏秋露地</t>
  </si>
  <si>
    <t>普通作物等</t>
    <rPh sb="0" eb="4">
      <t>フツウサクモツ</t>
    </rPh>
    <rPh sb="4" eb="5">
      <t>ナド</t>
    </rPh>
    <phoneticPr fontId="1"/>
  </si>
  <si>
    <t>さとうきび</t>
  </si>
  <si>
    <t>てんさい</t>
  </si>
  <si>
    <t>ばれいしょ</t>
  </si>
  <si>
    <t>ばれいしょ(食用)</t>
  </si>
  <si>
    <t>かんしょ</t>
  </si>
  <si>
    <t>かんしょ(食用)</t>
  </si>
  <si>
    <t>茶</t>
  </si>
  <si>
    <t>茶(荒茶)</t>
  </si>
  <si>
    <t>こんにゃくいも</t>
  </si>
  <si>
    <t>らっかせい</t>
  </si>
  <si>
    <t>小豆</t>
  </si>
  <si>
    <t>大豆</t>
  </si>
  <si>
    <t>そば畑作</t>
  </si>
  <si>
    <t>そば</t>
  </si>
  <si>
    <t>そば水田作</t>
  </si>
  <si>
    <t>い・畳表</t>
  </si>
  <si>
    <t>い(い草)</t>
  </si>
  <si>
    <t>裸麦</t>
  </si>
  <si>
    <t>六条大麦</t>
  </si>
  <si>
    <t>二条大麦</t>
  </si>
  <si>
    <t>ビール麦(二条大麦)</t>
  </si>
  <si>
    <t>小麦</t>
  </si>
  <si>
    <t>米</t>
  </si>
  <si>
    <t>うるち玄米</t>
  </si>
  <si>
    <t>2023年経営費</t>
  </si>
  <si>
    <t>分類</t>
    <rPh sb="0" eb="2">
      <t>ブンルイ</t>
    </rPh>
    <phoneticPr fontId="1"/>
  </si>
  <si>
    <t>データ数</t>
  </si>
  <si>
    <t>きゅうり 夏秋 露地</t>
  </si>
  <si>
    <t>きゅうり 年産 施設</t>
  </si>
  <si>
    <t>きゅうり 夏秋 施設</t>
  </si>
  <si>
    <t>きゅうり 冬春 施設</t>
  </si>
  <si>
    <t>なす 夏秋 露地</t>
  </si>
  <si>
    <t>なす 冬春 施設</t>
  </si>
  <si>
    <t>ピーマン 夏秋 露地</t>
  </si>
  <si>
    <t>ピーマン 年産 施設</t>
  </si>
  <si>
    <t>ピーマン 夏秋 施設</t>
  </si>
  <si>
    <t>ピーマン 冬春 施設</t>
  </si>
  <si>
    <t>大玉トマト 夏秋 露地</t>
  </si>
  <si>
    <t>大玉トマト 年産 施設</t>
  </si>
  <si>
    <t>大玉トマト 夏秋 施設</t>
  </si>
  <si>
    <t>大玉トマト 冬春 施設</t>
  </si>
  <si>
    <t>ミニトマト 夏秋 露地</t>
  </si>
  <si>
    <t>ミニトマト 年産 施設</t>
  </si>
  <si>
    <t>ミニトマト 夏秋 施設</t>
  </si>
  <si>
    <t>ミニトマト 冬春 施設</t>
  </si>
  <si>
    <t>すいか 年産 露地</t>
  </si>
  <si>
    <t>すいか 年産 施設</t>
  </si>
  <si>
    <t>メロン 年産 露地</t>
  </si>
  <si>
    <t>メロン 年産 施設</t>
  </si>
  <si>
    <t>いちご 年産 施設</t>
  </si>
  <si>
    <t>キャベツ 年産 露地</t>
  </si>
  <si>
    <t>はっさく</t>
  </si>
  <si>
    <t>キャベツ 春 露地</t>
  </si>
  <si>
    <t>キャベツ 夏秋 露地</t>
  </si>
  <si>
    <t>キャベツ 冬 露地</t>
  </si>
  <si>
    <t>レタス 年産 露地</t>
  </si>
  <si>
    <t>レタス 春 露地</t>
  </si>
  <si>
    <t>レタス 夏秋 露地</t>
  </si>
  <si>
    <t>レタス 冬 露地</t>
  </si>
  <si>
    <t>はくさい 年産 露地</t>
  </si>
  <si>
    <t>はくさい 春 露地</t>
  </si>
  <si>
    <t>はくさい 夏 露地</t>
  </si>
  <si>
    <t>はくさい 秋冬 露地</t>
  </si>
  <si>
    <t>ほうれんそう 年産 露地</t>
  </si>
  <si>
    <t>たまねぎ 年産 露地</t>
  </si>
  <si>
    <t>にんにく 年産 露地</t>
  </si>
  <si>
    <t>白ねぎ 年産 露地</t>
  </si>
  <si>
    <t>白ねぎ 春 露地</t>
  </si>
  <si>
    <t>白ねぎ 夏 露地</t>
  </si>
  <si>
    <t>白ねぎ 秋冬 露地</t>
  </si>
  <si>
    <t>青ねぎ 年産 露地</t>
  </si>
  <si>
    <t>青ねぎ 春 露地</t>
  </si>
  <si>
    <t>青ねぎ 夏 露地</t>
  </si>
  <si>
    <t>青ねぎ 秋冬 露地</t>
  </si>
  <si>
    <t>青ねぎ 年産 施設</t>
  </si>
  <si>
    <t>青ねぎ 春 施設</t>
  </si>
  <si>
    <t>青ねぎ 夏 施設</t>
  </si>
  <si>
    <t>青ねぎ 秋冬 施設</t>
  </si>
  <si>
    <t>だいこん 年産 露地</t>
  </si>
  <si>
    <t>だいこん 春 露地</t>
  </si>
  <si>
    <t>だいこん 夏 露地</t>
  </si>
  <si>
    <t>だいこん 秋冬 露地</t>
  </si>
  <si>
    <t>にんじん 年産 露地</t>
  </si>
  <si>
    <t>にんじん 春夏 露地</t>
  </si>
  <si>
    <t>にんじん 秋 露地</t>
  </si>
  <si>
    <t>にんじん 冬 露地</t>
  </si>
  <si>
    <t>さといも 年産 露地</t>
  </si>
  <si>
    <t>切り花_きく  露地</t>
  </si>
  <si>
    <t>切り花_きく  施設</t>
  </si>
  <si>
    <t>切り花_ばら  施設</t>
  </si>
  <si>
    <t>切り花_カーネーション  施設</t>
  </si>
  <si>
    <t>鉢物_シクラメン  施設</t>
  </si>
  <si>
    <t>地域</t>
    <rPh sb="0" eb="2">
      <t>チイキ</t>
    </rPh>
    <phoneticPr fontId="3"/>
  </si>
  <si>
    <t>全国</t>
    <rPh sb="0" eb="2">
      <t>ゼンコク</t>
    </rPh>
    <phoneticPr fontId="3"/>
  </si>
  <si>
    <t>かき</t>
    <phoneticPr fontId="3"/>
  </si>
  <si>
    <t>うめ</t>
    <phoneticPr fontId="3"/>
  </si>
  <si>
    <t>都府県</t>
    <rPh sb="0" eb="3">
      <t>トフケン</t>
    </rPh>
    <phoneticPr fontId="3"/>
  </si>
  <si>
    <t>道と都府県の平均</t>
    <rPh sb="0" eb="1">
      <t>ドウ</t>
    </rPh>
    <rPh sb="2" eb="5">
      <t>トフケン</t>
    </rPh>
    <rPh sb="6" eb="8">
      <t>ヘイキン</t>
    </rPh>
    <phoneticPr fontId="3"/>
  </si>
  <si>
    <t>品目別経営統計　品目名</t>
    <rPh sb="0" eb="3">
      <t>ヒンモクベツ</t>
    </rPh>
    <rPh sb="8" eb="10">
      <t>ヒンモク</t>
    </rPh>
    <phoneticPr fontId="1"/>
  </si>
  <si>
    <t>農業物価統計　品目名</t>
    <rPh sb="7" eb="9">
      <t>ヒンモク</t>
    </rPh>
    <phoneticPr fontId="1"/>
  </si>
  <si>
    <t>システム農学</t>
    <rPh sb="4" eb="6">
      <t>ノウガク</t>
    </rPh>
    <phoneticPr fontId="1"/>
  </si>
  <si>
    <t>項目</t>
    <rPh sb="0" eb="2">
      <t>コウモク</t>
    </rPh>
    <phoneticPr fontId="1"/>
  </si>
  <si>
    <t>項目の説明</t>
    <rPh sb="0" eb="2">
      <t>コウモク</t>
    </rPh>
    <rPh sb="3" eb="5">
      <t>セツメイ</t>
    </rPh>
    <phoneticPr fontId="1"/>
  </si>
  <si>
    <t>農業物価統計による品目名</t>
    <rPh sb="9" eb="11">
      <t>ヒンモク</t>
    </rPh>
    <phoneticPr fontId="1"/>
  </si>
  <si>
    <t>推定誤差</t>
  </si>
  <si>
    <t>推定誤差</t>
    <phoneticPr fontId="1"/>
  </si>
  <si>
    <t>-</t>
    <phoneticPr fontId="1"/>
  </si>
  <si>
    <t>品目別農業経営費の長期時系列推移の推定</t>
    <phoneticPr fontId="1"/>
  </si>
  <si>
    <t>品目別経営統計　品目名</t>
    <rPh sb="0" eb="3">
      <t>ヒンモクベツ</t>
    </rPh>
    <rPh sb="3" eb="5">
      <t>ケイエイ</t>
    </rPh>
    <rPh sb="5" eb="7">
      <t>トウケイ</t>
    </rPh>
    <rPh sb="8" eb="10">
      <t>ヒンモク</t>
    </rPh>
    <rPh sb="10" eb="11">
      <t>メイ</t>
    </rPh>
    <phoneticPr fontId="3"/>
  </si>
  <si>
    <t>営農類型別経営統計　品目名</t>
    <rPh sb="10" eb="13">
      <t>ヒンモクメイ</t>
    </rPh>
    <phoneticPr fontId="3"/>
  </si>
  <si>
    <t>露地きゅうり</t>
    <phoneticPr fontId="1"/>
  </si>
  <si>
    <t>露地大玉トマト</t>
    <phoneticPr fontId="1"/>
  </si>
  <si>
    <t>露地なす</t>
    <phoneticPr fontId="1"/>
  </si>
  <si>
    <t>露地キャベツ</t>
    <phoneticPr fontId="1"/>
  </si>
  <si>
    <t>露地ほうれんそう</t>
    <phoneticPr fontId="1"/>
  </si>
  <si>
    <t>露地たまねぎ</t>
    <phoneticPr fontId="1"/>
  </si>
  <si>
    <t>露地レタス</t>
    <phoneticPr fontId="1"/>
  </si>
  <si>
    <t>露地はくさい</t>
    <phoneticPr fontId="1"/>
  </si>
  <si>
    <t>露地白ねぎ</t>
    <phoneticPr fontId="1"/>
  </si>
  <si>
    <t>露地だいこん</t>
    <phoneticPr fontId="1"/>
  </si>
  <si>
    <t>露地にんじん</t>
    <phoneticPr fontId="1"/>
  </si>
  <si>
    <t>施設きゅうり</t>
    <phoneticPr fontId="1"/>
  </si>
  <si>
    <t>施設大玉トマト</t>
    <phoneticPr fontId="1"/>
  </si>
  <si>
    <t>施設ミニトマト</t>
    <phoneticPr fontId="1"/>
  </si>
  <si>
    <t>施設なす</t>
    <phoneticPr fontId="1"/>
  </si>
  <si>
    <t>りんご</t>
    <phoneticPr fontId="3"/>
  </si>
  <si>
    <t>露地温州みかん</t>
    <rPh sb="0" eb="2">
      <t>ロジ</t>
    </rPh>
    <rPh sb="2" eb="4">
      <t>ウンシュウ</t>
    </rPh>
    <phoneticPr fontId="3"/>
  </si>
  <si>
    <t>露地ぶどう</t>
    <rPh sb="0" eb="2">
      <t>ロジ</t>
    </rPh>
    <phoneticPr fontId="3"/>
  </si>
  <si>
    <t>日本なし</t>
    <rPh sb="0" eb="2">
      <t>ニホン</t>
    </rPh>
    <phoneticPr fontId="3"/>
  </si>
  <si>
    <t>もも</t>
    <phoneticPr fontId="3"/>
  </si>
  <si>
    <t>キウイフルーツ</t>
    <phoneticPr fontId="3"/>
  </si>
  <si>
    <t>すもも</t>
    <phoneticPr fontId="3"/>
  </si>
  <si>
    <t>施設ばら</t>
    <rPh sb="0" eb="2">
      <t>シセツ</t>
    </rPh>
    <phoneticPr fontId="3"/>
  </si>
  <si>
    <t>かんしょ</t>
    <phoneticPr fontId="3"/>
  </si>
  <si>
    <t>ばれいしょ</t>
    <phoneticPr fontId="3"/>
  </si>
  <si>
    <t>茶</t>
    <rPh sb="0" eb="1">
      <t>チャ</t>
    </rPh>
    <phoneticPr fontId="3"/>
  </si>
  <si>
    <t>期間開始年</t>
    <rPh sb="0" eb="2">
      <t>キカン</t>
    </rPh>
    <rPh sb="2" eb="5">
      <t>カイシネン</t>
    </rPh>
    <phoneticPr fontId="1"/>
  </si>
  <si>
    <t>期間終了年</t>
    <rPh sb="0" eb="2">
      <t>キカン</t>
    </rPh>
    <rPh sb="2" eb="4">
      <t>シュウリョウ</t>
    </rPh>
    <rPh sb="4" eb="5">
      <t>ネン</t>
    </rPh>
    <phoneticPr fontId="1"/>
  </si>
  <si>
    <t>価格インフレ率　全期間</t>
    <rPh sb="0" eb="2">
      <t>カカク</t>
    </rPh>
    <rPh sb="6" eb="7">
      <t>リツ</t>
    </rPh>
    <rPh sb="8" eb="11">
      <t>ゼンキカン</t>
    </rPh>
    <phoneticPr fontId="1"/>
  </si>
  <si>
    <t>価格インフレ率　直近5年</t>
    <rPh sb="0" eb="2">
      <t>カカク</t>
    </rPh>
    <rPh sb="6" eb="7">
      <t>リツ</t>
    </rPh>
    <rPh sb="8" eb="10">
      <t>チョッキン</t>
    </rPh>
    <rPh sb="11" eb="12">
      <t>ネン</t>
    </rPh>
    <phoneticPr fontId="1"/>
  </si>
  <si>
    <t>経営費インフレ率　直近5年</t>
    <rPh sb="0" eb="3">
      <t>ケイエイヒ</t>
    </rPh>
    <rPh sb="7" eb="8">
      <t>リツ</t>
    </rPh>
    <rPh sb="9" eb="11">
      <t>チョッキン</t>
    </rPh>
    <rPh sb="12" eb="13">
      <t>ネン</t>
    </rPh>
    <phoneticPr fontId="1"/>
  </si>
  <si>
    <t>経営費インフレ率　全期間1</t>
    <rPh sb="0" eb="3">
      <t>ケイエイヒ</t>
    </rPh>
    <rPh sb="7" eb="8">
      <t>リツ</t>
    </rPh>
    <rPh sb="9" eb="12">
      <t>ゼンキカン</t>
    </rPh>
    <phoneticPr fontId="1"/>
  </si>
  <si>
    <t>経営費インフレ率　全期間2</t>
    <rPh sb="0" eb="3">
      <t>ケイエイヒ</t>
    </rPh>
    <rPh sb="7" eb="8">
      <t>リツ</t>
    </rPh>
    <rPh sb="9" eb="12">
      <t>ゼンキカン</t>
    </rPh>
    <phoneticPr fontId="1"/>
  </si>
  <si>
    <t>品目別経営統計による品目名</t>
    <rPh sb="0" eb="3">
      <t>ヒンモクベツ</t>
    </rPh>
    <rPh sb="10" eb="12">
      <t>ヒンモク</t>
    </rPh>
    <phoneticPr fontId="1"/>
  </si>
  <si>
    <t>付表1　経営費と販売価格の品目名の対応表</t>
    <rPh sb="0" eb="2">
      <t>フヒョウ</t>
    </rPh>
    <phoneticPr fontId="1"/>
  </si>
  <si>
    <t>付表2　品目別経営統計から推定した経営費と都道府県等の経営指標による経営費との比較</t>
    <rPh sb="0" eb="2">
      <t>フヒョウ</t>
    </rPh>
    <phoneticPr fontId="1"/>
  </si>
  <si>
    <t>（各都道府県等の経営指標の経営費）/（品目別経営統計からの推定した経営費）の平均値</t>
    <rPh sb="38" eb="41">
      <t>ヘイキンチ</t>
    </rPh>
    <phoneticPr fontId="1"/>
  </si>
  <si>
    <t>各都道府県等の経営指標における当該品目の合計データ数</t>
    <rPh sb="0" eb="1">
      <t>カク</t>
    </rPh>
    <rPh sb="20" eb="22">
      <t>ゴウケイ</t>
    </rPh>
    <rPh sb="25" eb="26">
      <t>スウ</t>
    </rPh>
    <phoneticPr fontId="1"/>
  </si>
  <si>
    <t>各都道府県等の経営指標における当該品目の経営費の平均値</t>
    <rPh sb="1" eb="5">
      <t>トドウフケン</t>
    </rPh>
    <rPh sb="15" eb="19">
      <t>トウガイヒンモク</t>
    </rPh>
    <rPh sb="20" eb="23">
      <t>ケイエイヒ</t>
    </rPh>
    <rPh sb="24" eb="27">
      <t>ヘイキンチ</t>
    </rPh>
    <phoneticPr fontId="1"/>
  </si>
  <si>
    <t>各都道府県等の経営指標における当該品目の経営費の標準偏差</t>
    <rPh sb="1" eb="5">
      <t>トドウフケン</t>
    </rPh>
    <rPh sb="15" eb="19">
      <t>トウガイヒンモク</t>
    </rPh>
    <rPh sb="20" eb="23">
      <t>ケイエイヒ</t>
    </rPh>
    <rPh sb="24" eb="28">
      <t>ヒョウジュンヘンサ</t>
    </rPh>
    <phoneticPr fontId="1"/>
  </si>
  <si>
    <t>各都道府県等の経営指標に対応した年度における、品目別経営統計から推定した経営費の平均値</t>
    <rPh sb="12" eb="14">
      <t>タイオウ</t>
    </rPh>
    <rPh sb="16" eb="18">
      <t>ネンド</t>
    </rPh>
    <rPh sb="31" eb="33">
      <t>スイテイ</t>
    </rPh>
    <rPh sb="35" eb="38">
      <t>ケイエイヒ</t>
    </rPh>
    <rPh sb="39" eb="42">
      <t>ヘイキンチ</t>
    </rPh>
    <phoneticPr fontId="1"/>
  </si>
  <si>
    <t>各都道府県等の経営指標に対応した年度における、品目別経営統計から推定した経営費の標準偏差</t>
    <rPh sb="12" eb="14">
      <t>タイオウ</t>
    </rPh>
    <rPh sb="16" eb="18">
      <t>ネンド</t>
    </rPh>
    <rPh sb="32" eb="34">
      <t>スイテイ</t>
    </rPh>
    <rPh sb="36" eb="39">
      <t>ケイエイヒ</t>
    </rPh>
    <rPh sb="40" eb="44">
      <t>ヒョウジュンヘンサ</t>
    </rPh>
    <phoneticPr fontId="1"/>
  </si>
  <si>
    <t>営農類型別経営統計による品目名</t>
    <rPh sb="12" eb="15">
      <t>ヒンモクメイ</t>
    </rPh>
    <phoneticPr fontId="3"/>
  </si>
  <si>
    <t>品目別経営統計による品目名</t>
    <rPh sb="0" eb="3">
      <t>ヒンモクベツ</t>
    </rPh>
    <rPh sb="3" eb="5">
      <t>ケイエイ</t>
    </rPh>
    <rPh sb="5" eb="7">
      <t>トウケイ</t>
    </rPh>
    <rPh sb="10" eb="12">
      <t>ヒンモク</t>
    </rPh>
    <rPh sb="12" eb="13">
      <t>メイ</t>
    </rPh>
    <phoneticPr fontId="3"/>
  </si>
  <si>
    <t>経営費の整理地域</t>
    <rPh sb="0" eb="3">
      <t>ケイエイヒ</t>
    </rPh>
    <rPh sb="4" eb="6">
      <t>セイリ</t>
    </rPh>
    <rPh sb="6" eb="8">
      <t>チイキ</t>
    </rPh>
    <phoneticPr fontId="1"/>
  </si>
  <si>
    <t>品目別経営統計から推定した2023年度の経営費</t>
    <rPh sb="0" eb="3">
      <t>ヒンモクベツ</t>
    </rPh>
    <rPh sb="3" eb="7">
      <t>ケイエイトウケイ</t>
    </rPh>
    <rPh sb="9" eb="11">
      <t>スイテイ</t>
    </rPh>
    <rPh sb="17" eb="18">
      <t>ネン</t>
    </rPh>
    <rPh sb="18" eb="19">
      <t>ド</t>
    </rPh>
    <rPh sb="20" eb="23">
      <t>ケイエイヒ</t>
    </rPh>
    <phoneticPr fontId="3"/>
  </si>
  <si>
    <t>営農類型別経営統計による2023年度の経営費</t>
    <rPh sb="16" eb="18">
      <t>ネンド</t>
    </rPh>
    <rPh sb="19" eb="22">
      <t>ケイエイヒ</t>
    </rPh>
    <phoneticPr fontId="3"/>
  </si>
  <si>
    <r>
      <t>（</t>
    </r>
    <r>
      <rPr>
        <sz val="10"/>
        <color theme="1"/>
        <rFont val="游ゴシック"/>
        <family val="3"/>
        <charset val="128"/>
        <scheme val="minor"/>
      </rPr>
      <t>営農類型別経営統計による2023年度の</t>
    </r>
    <r>
      <rPr>
        <sz val="10"/>
        <color rgb="FF000000"/>
        <rFont val="游ゴシック"/>
        <family val="3"/>
        <charset val="128"/>
        <scheme val="minor"/>
      </rPr>
      <t>経営費）/（品目別経営統計から推定した2023年度の経営費）</t>
    </r>
    <phoneticPr fontId="1"/>
  </si>
  <si>
    <t>付表3　品目別経営統計から推定した経営費と2023年度営農類型別経営統計による経営費との比較</t>
    <rPh sb="0" eb="2">
      <t>フヒョウ</t>
    </rPh>
    <phoneticPr fontId="1"/>
  </si>
  <si>
    <t>付表4　経営費と販売価格のインフレ率</t>
    <rPh sb="0" eb="2">
      <t>フヒョウ</t>
    </rPh>
    <phoneticPr fontId="1"/>
  </si>
  <si>
    <t>2023年度の経営費（農産物生産費統計による経営費もしくは品目別経営統計から推定した経営費）</t>
    <rPh sb="4" eb="5">
      <t>ネン</t>
    </rPh>
    <rPh sb="5" eb="6">
      <t>ド</t>
    </rPh>
    <rPh sb="7" eb="10">
      <t>ケイエイヒ</t>
    </rPh>
    <rPh sb="22" eb="24">
      <t>ケイエイ</t>
    </rPh>
    <rPh sb="24" eb="25">
      <t>ヒ</t>
    </rPh>
    <rPh sb="38" eb="40">
      <t>スイテイ</t>
    </rPh>
    <rPh sb="42" eb="45">
      <t>ケイエイヒ</t>
    </rPh>
    <phoneticPr fontId="3"/>
  </si>
  <si>
    <t>農業物価統計による販売価格データが得られた期間の開始年</t>
    <rPh sb="9" eb="11">
      <t>ハンバイ</t>
    </rPh>
    <rPh sb="11" eb="13">
      <t>カカク</t>
    </rPh>
    <rPh sb="17" eb="18">
      <t>エ</t>
    </rPh>
    <rPh sb="21" eb="23">
      <t>キカン</t>
    </rPh>
    <rPh sb="24" eb="27">
      <t>カイシネン</t>
    </rPh>
    <phoneticPr fontId="1"/>
  </si>
  <si>
    <t>農業物価統計による販売価格データが得られた期間の終了年</t>
    <rPh sb="11" eb="13">
      <t>カカク</t>
    </rPh>
    <rPh sb="17" eb="18">
      <t>エ</t>
    </rPh>
    <rPh sb="21" eb="23">
      <t>キカン</t>
    </rPh>
    <rPh sb="24" eb="26">
      <t>シュウリョウ</t>
    </rPh>
    <rPh sb="26" eb="27">
      <t>ネン</t>
    </rPh>
    <phoneticPr fontId="1"/>
  </si>
  <si>
    <t>販売価格のインフレ率（農業物価統計による販売価格データが得られた全期間）</t>
    <rPh sb="2" eb="4">
      <t>カカク</t>
    </rPh>
    <rPh sb="9" eb="10">
      <t>リツ</t>
    </rPh>
    <rPh sb="32" eb="35">
      <t>ゼンキカン</t>
    </rPh>
    <phoneticPr fontId="1"/>
  </si>
  <si>
    <t>販売価格のインフレ率（2019年～2023年）</t>
    <rPh sb="2" eb="4">
      <t>カカク</t>
    </rPh>
    <rPh sb="9" eb="10">
      <t>リツ</t>
    </rPh>
    <rPh sb="15" eb="16">
      <t>ネン</t>
    </rPh>
    <rPh sb="21" eb="22">
      <t>ネン</t>
    </rPh>
    <phoneticPr fontId="1"/>
  </si>
  <si>
    <t>図2, 図6, 図7のグラフ用の品目分類</t>
    <rPh sb="0" eb="1">
      <t>ズ</t>
    </rPh>
    <rPh sb="4" eb="5">
      <t>ズ</t>
    </rPh>
    <rPh sb="8" eb="9">
      <t>ズ</t>
    </rPh>
    <rPh sb="14" eb="15">
      <t>ヨウ</t>
    </rPh>
    <rPh sb="16" eb="18">
      <t>ヒンモク</t>
    </rPh>
    <rPh sb="18" eb="20">
      <t>ブンルイ</t>
    </rPh>
    <phoneticPr fontId="1"/>
  </si>
  <si>
    <t>経営費のインフレ率（農業物価統計による販売価格データが得られた全期間）：図7に使用</t>
    <rPh sb="0" eb="3">
      <t>ケイエイヒ</t>
    </rPh>
    <rPh sb="8" eb="9">
      <t>リツ</t>
    </rPh>
    <rPh sb="31" eb="34">
      <t>ゼンキカン</t>
    </rPh>
    <rPh sb="36" eb="37">
      <t>ズ</t>
    </rPh>
    <rPh sb="39" eb="41">
      <t>シヨウ</t>
    </rPh>
    <phoneticPr fontId="1"/>
  </si>
  <si>
    <t>経営費のインフレ率（1985年～2023年）：図6に使用</t>
    <rPh sb="0" eb="3">
      <t>ケイエイヒ</t>
    </rPh>
    <rPh sb="8" eb="9">
      <t>リツ</t>
    </rPh>
    <rPh sb="14" eb="15">
      <t>ネン</t>
    </rPh>
    <rPh sb="20" eb="21">
      <t>ネン</t>
    </rPh>
    <phoneticPr fontId="1"/>
  </si>
  <si>
    <t>経営費のインフレ率（2019年～2023年）：図6, 図7に使用</t>
    <rPh sb="0" eb="3">
      <t>ケイエイヒ</t>
    </rPh>
    <rPh sb="8" eb="9">
      <t>リツ</t>
    </rPh>
    <rPh sb="14" eb="15">
      <t>ネン</t>
    </rPh>
    <rPh sb="20" eb="21">
      <t>ネン</t>
    </rPh>
    <rPh sb="23" eb="24">
      <t>ズ</t>
    </rPh>
    <phoneticPr fontId="1"/>
  </si>
  <si>
    <t>　営農類型別経営統計　経営費
(万円/10a)</t>
    <rPh sb="11" eb="14">
      <t>ケイエイヒ</t>
    </rPh>
    <phoneticPr fontId="3"/>
  </si>
  <si>
    <t>営農類型別経営統計　経営費</t>
    <rPh sb="10" eb="13">
      <t>ケイエイヒ</t>
    </rPh>
    <phoneticPr fontId="3"/>
  </si>
  <si>
    <t>品目別経営統計　2023年推定値
(万円/10a)</t>
    <rPh sb="0" eb="3">
      <t>ヒンモクベツ</t>
    </rPh>
    <rPh sb="3" eb="7">
      <t>ケイエイトウケイ</t>
    </rPh>
    <rPh sb="12" eb="13">
      <t>ネン</t>
    </rPh>
    <rPh sb="13" eb="15">
      <t>スイテイ</t>
    </rPh>
    <rPh sb="15" eb="16">
      <t>アタイ</t>
    </rPh>
    <phoneticPr fontId="3"/>
  </si>
  <si>
    <t>品目別経営統計　2023年推定値</t>
    <rPh sb="0" eb="3">
      <t>ヒンモクベツ</t>
    </rPh>
    <rPh sb="3" eb="7">
      <t>ケイエイトウケイ</t>
    </rPh>
    <rPh sb="12" eb="13">
      <t>ネン</t>
    </rPh>
    <rPh sb="13" eb="15">
      <t>スイテイ</t>
    </rPh>
    <rPh sb="15" eb="16">
      <t>アタイ</t>
    </rPh>
    <phoneticPr fontId="3"/>
  </si>
  <si>
    <t>経営費　経営指標　平均</t>
    <rPh sb="9" eb="11">
      <t>ヘイキン</t>
    </rPh>
    <phoneticPr fontId="1"/>
  </si>
  <si>
    <t>経営費　経営指標　標準偏差</t>
    <rPh sb="9" eb="13">
      <t>ヒョウジュンヘンサ</t>
    </rPh>
    <phoneticPr fontId="1"/>
  </si>
  <si>
    <t>経営費　推定値　平均</t>
    <rPh sb="4" eb="6">
      <t>スイテイ</t>
    </rPh>
    <rPh sb="6" eb="7">
      <t>チ</t>
    </rPh>
    <rPh sb="8" eb="10">
      <t>ヘイキン</t>
    </rPh>
    <phoneticPr fontId="1"/>
  </si>
  <si>
    <t>経営費　推定値　標準偏差</t>
    <rPh sb="4" eb="6">
      <t>スイテイ</t>
    </rPh>
    <rPh sb="6" eb="7">
      <t>チ</t>
    </rPh>
    <rPh sb="8" eb="12">
      <t>ヒョウジュンヘンサ</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</si>
</sst>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0_ "/>
  </numFmts>
  <fonts count="7" x14ac:knownFonts="1">
    <font>
      <sz val="11"/>
      <color theme="1"/>
      <name val="游ゴシック"/>
      <family val="2"/>
      <charset val="128"/>
      <scheme val="minor"/>
    </font>
    <font>
      <sz val="6"/>
      <name val="游ゴシック"/>
      <family val="2"/>
      <charset val="128"/>
      <scheme val="minor"/>
    </font>
    <font>
      <sz val="10"/>
      <color theme="1"/>
      <name val="ＭＳ Ｐゴシック"/>
      <family val="2"/>
      <charset val="128"/>
    </font>
    <font>
      <sz val="6"/>
      <name val="ＭＳ Ｐゴシック"/>
      <family val="2"/>
      <charset val="128"/>
    </font>
    <font>
      <sz val="10"/>
      <color theme="1"/>
      <name val="游ゴシック"/>
      <family val="3"/>
      <charset val="128"/>
      <scheme val="minor"/>
    </font>
    <font>
      <sz val="10"/>
      <color theme="1"/>
      <name val="游ゴシック"/>
      <family val="2"/>
      <charset val="128"/>
      <scheme val="minor"/>
    </font>
    <font>
      <sz val="10"/>
      <color rgb="FF000000"/>
      <name val="游ゴシック"/>
      <family val="3"/>
      <charset val="128"/>
      <scheme val="minor"/>
    </font>
  </fonts>
  <fills count="2">
    <fill>
      <patternFill patternType="none"/>
    </fill>
    <fill>
      <patternFill patternType="gray125"/>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2">
    <xf numFmtId="0" fontId="0" fillId="0" borderId="0">
      <alignment vertical="center"/>
    </xf>
    <xf numFmtId="0" fontId="2" fillId="0" borderId="0">
      <alignment vertical="center"/>
    </xf>
  </cellStyleXfs>
  <cellXfs count="19">
    <xf numFmtId="0" fontId="0" fillId="0" borderId="0" xfId="0">
      <alignment vertical="center"/>
    </xf>
    <xf numFmtId="0" fontId="4" fillId="0" borderId="0" xfId="1" applyFont="1">
      <alignment vertical="center"/>
    </xf>
    <xf numFmtId="176" fontId="4" fillId="0" borderId="0" xfId="1" applyNumberFormat="1" applyFont="1">
      <alignment vertical="center"/>
    </xf>
    <xf numFmtId="0" fontId="5" fillId="0" borderId="0" xfId="0" applyFont="1">
      <alignment vertical="center"/>
    </xf>
    <xf numFmtId="177" fontId="4" fillId="0" borderId="0" xfId="0" applyNumberFormat="1" applyFont="1" applyAlignment="1">
      <alignment horizontal="right" vertical="center"/>
    </xf>
    <xf numFmtId="176" fontId="4"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4" fillId="0" borderId="1" xfId="0" applyFont="1" applyBorder="1">
      <alignment vertical="center"/>
    </xf>
    <xf numFmtId="0" fontId="4" fillId="0" borderId="1" xfId="0" applyFont="1" applyBorder="1" applyAlignment="1">
      <alignment vertical="center" wrapText="1"/>
    </xf>
    <xf numFmtId="0" fontId="4" fillId="0" borderId="2" xfId="0" applyFont="1" applyBorder="1">
      <alignment vertical="center"/>
    </xf>
    <xf numFmtId="0" fontId="4" fillId="0" borderId="2" xfId="0" applyFont="1" applyBorder="1" applyAlignment="1">
      <alignment vertical="center" wrapText="1"/>
    </xf>
    <xf numFmtId="177" fontId="4" fillId="0" borderId="0" xfId="1" applyNumberFormat="1" applyFont="1" applyAlignment="1">
      <alignment horizontal="right" vertical="center" wrapText="1"/>
    </xf>
    <xf numFmtId="177" fontId="4" fillId="0" borderId="0" xfId="1" applyNumberFormat="1" applyFont="1" applyAlignment="1">
      <alignment horizontal="right" vertical="center"/>
    </xf>
    <xf numFmtId="0" fontId="0" fillId="0" borderId="0" xfId="0" applyAlignment="1">
      <alignment horizontal="right" vertical="center"/>
    </xf>
    <xf numFmtId="0" fontId="4" fillId="0" borderId="0" xfId="0" applyFont="1" applyAlignment="1">
      <alignment horizontal="right" vertical="center"/>
    </xf>
    <xf numFmtId="0" fontId="5" fillId="0" borderId="2" xfId="0" applyFont="1" applyBorder="1">
      <alignment vertical="center"/>
    </xf>
    <xf numFmtId="0" fontId="6" fillId="0" borderId="2" xfId="0" applyFont="1" applyBorder="1">
      <alignment vertical="center"/>
    </xf>
    <xf numFmtId="0" fontId="4" fillId="0" borderId="0" xfId="0" applyFont="1" applyBorder="1">
      <alignment vertical="center"/>
    </xf>
  </cellXfs>
  <cellStyles count="2">
    <cellStyle name="標準" xfId="0" builtinId="0"/>
    <cellStyle name="標準 2" xfId="1" xr:uid="{BE1EA29E-DAA1-441B-90FF-7A5374C745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3BC2B-4261-47A0-B537-ED3243320FD4}">
  <dimension ref="A1:B40"/>
  <sheetViews>
    <sheetView tabSelected="1" workbookViewId="0"/>
  </sheetViews>
  <sheetFormatPr defaultRowHeight="18" x14ac:dyDescent="0.45"/>
  <cols>
    <col min="1" max="1" width="73.59765625" style="6" bestFit="1" customWidth="1"/>
    <col min="2" max="2" width="85.09765625" style="7" bestFit="1" customWidth="1"/>
  </cols>
  <sheetData>
    <row r="1" spans="1:2" x14ac:dyDescent="0.45">
      <c r="A1" s="6" t="s">
        <v>208</v>
      </c>
    </row>
    <row r="2" spans="1:2" x14ac:dyDescent="0.45">
      <c r="A2" s="7" t="s">
        <v>215</v>
      </c>
    </row>
    <row r="3" spans="1:2" x14ac:dyDescent="0.45">
      <c r="A3" s="7"/>
    </row>
    <row r="4" spans="1:2" x14ac:dyDescent="0.45">
      <c r="A4" s="7" t="s">
        <v>252</v>
      </c>
    </row>
    <row r="5" spans="1:2" x14ac:dyDescent="0.45">
      <c r="A5" s="8" t="s">
        <v>209</v>
      </c>
      <c r="B5" s="9" t="s">
        <v>210</v>
      </c>
    </row>
    <row r="6" spans="1:2" x14ac:dyDescent="0.45">
      <c r="A6" s="3" t="s">
        <v>206</v>
      </c>
      <c r="B6" s="3" t="s">
        <v>251</v>
      </c>
    </row>
    <row r="7" spans="1:2" x14ac:dyDescent="0.45">
      <c r="A7" s="16" t="s">
        <v>207</v>
      </c>
      <c r="B7" s="10" t="s">
        <v>211</v>
      </c>
    </row>
    <row r="8" spans="1:2" x14ac:dyDescent="0.45">
      <c r="A8" s="7"/>
    </row>
    <row r="9" spans="1:2" x14ac:dyDescent="0.45">
      <c r="A9" s="7" t="s">
        <v>253</v>
      </c>
    </row>
    <row r="10" spans="1:2" x14ac:dyDescent="0.45">
      <c r="A10" s="8" t="s">
        <v>209</v>
      </c>
      <c r="B10" s="9" t="s">
        <v>210</v>
      </c>
    </row>
    <row r="11" spans="1:2" x14ac:dyDescent="0.45">
      <c r="A11" s="6" t="s">
        <v>206</v>
      </c>
      <c r="B11" s="3" t="s">
        <v>251</v>
      </c>
    </row>
    <row r="12" spans="1:2" x14ac:dyDescent="0.45">
      <c r="A12" s="6" t="s">
        <v>134</v>
      </c>
      <c r="B12" s="7" t="s">
        <v>255</v>
      </c>
    </row>
    <row r="13" spans="1:2" x14ac:dyDescent="0.45">
      <c r="A13" s="6" t="s">
        <v>281</v>
      </c>
      <c r="B13" s="7" t="s">
        <v>256</v>
      </c>
    </row>
    <row r="14" spans="1:2" x14ac:dyDescent="0.45">
      <c r="A14" s="6" t="s">
        <v>282</v>
      </c>
      <c r="B14" s="7" t="s">
        <v>257</v>
      </c>
    </row>
    <row r="15" spans="1:2" x14ac:dyDescent="0.45">
      <c r="A15" s="6" t="s">
        <v>283</v>
      </c>
      <c r="B15" s="7" t="s">
        <v>258</v>
      </c>
    </row>
    <row r="16" spans="1:2" x14ac:dyDescent="0.45">
      <c r="A16" s="6" t="s">
        <v>284</v>
      </c>
      <c r="B16" s="7" t="s">
        <v>259</v>
      </c>
    </row>
    <row r="17" spans="1:2" x14ac:dyDescent="0.45">
      <c r="A17" s="10" t="s">
        <v>212</v>
      </c>
      <c r="B17" s="11" t="s">
        <v>254</v>
      </c>
    </row>
    <row r="19" spans="1:2" ht="32.4" x14ac:dyDescent="0.45">
      <c r="A19" s="7" t="s">
        <v>266</v>
      </c>
    </row>
    <row r="20" spans="1:2" x14ac:dyDescent="0.45">
      <c r="A20" s="8" t="s">
        <v>209</v>
      </c>
      <c r="B20" s="9" t="s">
        <v>210</v>
      </c>
    </row>
    <row r="21" spans="1:2" x14ac:dyDescent="0.45">
      <c r="A21" s="6" t="s">
        <v>217</v>
      </c>
      <c r="B21" s="6" t="s">
        <v>260</v>
      </c>
    </row>
    <row r="22" spans="1:2" x14ac:dyDescent="0.45">
      <c r="A22" s="6" t="s">
        <v>216</v>
      </c>
      <c r="B22" s="6" t="s">
        <v>261</v>
      </c>
    </row>
    <row r="23" spans="1:2" x14ac:dyDescent="0.45">
      <c r="A23" s="6" t="s">
        <v>200</v>
      </c>
      <c r="B23" s="7" t="s">
        <v>262</v>
      </c>
    </row>
    <row r="24" spans="1:2" x14ac:dyDescent="0.45">
      <c r="A24" s="7" t="s">
        <v>278</v>
      </c>
      <c r="B24" s="6" t="s">
        <v>264</v>
      </c>
    </row>
    <row r="25" spans="1:2" x14ac:dyDescent="0.45">
      <c r="A25" s="6" t="s">
        <v>280</v>
      </c>
      <c r="B25" s="6" t="s">
        <v>263</v>
      </c>
    </row>
    <row r="26" spans="1:2" x14ac:dyDescent="0.45">
      <c r="A26" s="10" t="s">
        <v>212</v>
      </c>
      <c r="B26" s="17" t="s">
        <v>265</v>
      </c>
    </row>
    <row r="28" spans="1:2" x14ac:dyDescent="0.45">
      <c r="A28" s="7" t="s">
        <v>267</v>
      </c>
    </row>
    <row r="29" spans="1:2" x14ac:dyDescent="0.45">
      <c r="A29" s="8" t="s">
        <v>209</v>
      </c>
      <c r="B29" s="9" t="s">
        <v>210</v>
      </c>
    </row>
    <row r="30" spans="1:2" x14ac:dyDescent="0.45">
      <c r="A30" s="6" t="s">
        <v>206</v>
      </c>
      <c r="B30" s="6" t="s">
        <v>261</v>
      </c>
    </row>
    <row r="31" spans="1:2" x14ac:dyDescent="0.45">
      <c r="A31" s="6" t="s">
        <v>207</v>
      </c>
      <c r="B31" s="18" t="s">
        <v>211</v>
      </c>
    </row>
    <row r="32" spans="1:2" x14ac:dyDescent="0.45">
      <c r="A32" s="6" t="s">
        <v>133</v>
      </c>
      <c r="B32" s="7" t="s">
        <v>273</v>
      </c>
    </row>
    <row r="33" spans="1:2" x14ac:dyDescent="0.45">
      <c r="A33" s="6" t="s">
        <v>132</v>
      </c>
      <c r="B33" s="6" t="s">
        <v>268</v>
      </c>
    </row>
    <row r="34" spans="1:2" x14ac:dyDescent="0.45">
      <c r="A34" s="6" t="s">
        <v>244</v>
      </c>
      <c r="B34" s="18" t="s">
        <v>269</v>
      </c>
    </row>
    <row r="35" spans="1:2" x14ac:dyDescent="0.45">
      <c r="A35" s="6" t="s">
        <v>245</v>
      </c>
      <c r="B35" s="18" t="s">
        <v>270</v>
      </c>
    </row>
    <row r="36" spans="1:2" x14ac:dyDescent="0.45">
      <c r="A36" s="6" t="s">
        <v>246</v>
      </c>
      <c r="B36" s="6" t="s">
        <v>271</v>
      </c>
    </row>
    <row r="37" spans="1:2" x14ac:dyDescent="0.45">
      <c r="A37" s="6" t="s">
        <v>247</v>
      </c>
      <c r="B37" s="6" t="s">
        <v>272</v>
      </c>
    </row>
    <row r="38" spans="1:2" x14ac:dyDescent="0.45">
      <c r="A38" s="6" t="s">
        <v>249</v>
      </c>
      <c r="B38" s="6" t="s">
        <v>274</v>
      </c>
    </row>
    <row r="39" spans="1:2" x14ac:dyDescent="0.45">
      <c r="A39" s="6" t="s">
        <v>250</v>
      </c>
      <c r="B39" s="6" t="s">
        <v>275</v>
      </c>
    </row>
    <row r="40" spans="1:2" x14ac:dyDescent="0.45">
      <c r="A40" s="10" t="s">
        <v>248</v>
      </c>
      <c r="B40" s="10" t="s">
        <v>276</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04A2A-58B5-430A-AB5A-34032D5ADCAE}">
  <dimension ref="A1:B95"/>
  <sheetViews>
    <sheetView workbookViewId="0">
      <pane ySplit="1" topLeftCell="A2" activePane="bottomLeft" state="frozen"/>
      <selection activeCell="J1" sqref="J1"/>
      <selection pane="bottomLeft"/>
    </sheetView>
  </sheetViews>
  <sheetFormatPr defaultRowHeight="18" x14ac:dyDescent="0.45"/>
  <cols>
    <col min="1" max="1" width="27.69921875" style="6" bestFit="1" customWidth="1"/>
    <col min="2" max="2" width="23" style="6" bestFit="1" customWidth="1"/>
  </cols>
  <sheetData>
    <row r="1" spans="1:2" s="3" customFormat="1" ht="16.2" x14ac:dyDescent="0.45">
      <c r="A1" s="3" t="s">
        <v>206</v>
      </c>
      <c r="B1" s="3" t="s">
        <v>207</v>
      </c>
    </row>
    <row r="2" spans="1:2" x14ac:dyDescent="0.45">
      <c r="A2" s="6" t="s">
        <v>130</v>
      </c>
      <c r="B2" s="6" t="s">
        <v>131</v>
      </c>
    </row>
    <row r="3" spans="1:2" x14ac:dyDescent="0.45">
      <c r="A3" s="6" t="s">
        <v>129</v>
      </c>
      <c r="B3" s="6" t="s">
        <v>129</v>
      </c>
    </row>
    <row r="4" spans="1:2" x14ac:dyDescent="0.45">
      <c r="A4" s="6" t="s">
        <v>127</v>
      </c>
      <c r="B4" s="6" t="s">
        <v>128</v>
      </c>
    </row>
    <row r="5" spans="1:2" x14ac:dyDescent="0.45">
      <c r="A5" s="6" t="s">
        <v>126</v>
      </c>
      <c r="B5" s="6" t="s">
        <v>126</v>
      </c>
    </row>
    <row r="6" spans="1:2" x14ac:dyDescent="0.45">
      <c r="A6" s="6" t="s">
        <v>125</v>
      </c>
      <c r="B6" s="6" t="s">
        <v>125</v>
      </c>
    </row>
    <row r="7" spans="1:2" x14ac:dyDescent="0.45">
      <c r="A7" s="6" t="s">
        <v>123</v>
      </c>
      <c r="B7" s="6" t="s">
        <v>124</v>
      </c>
    </row>
    <row r="8" spans="1:2" x14ac:dyDescent="0.45">
      <c r="A8" s="6" t="s">
        <v>121</v>
      </c>
      <c r="B8" s="6" t="s">
        <v>121</v>
      </c>
    </row>
    <row r="9" spans="1:2" x14ac:dyDescent="0.45">
      <c r="A9" s="6" t="s">
        <v>119</v>
      </c>
      <c r="B9" s="6" t="s">
        <v>119</v>
      </c>
    </row>
    <row r="10" spans="1:2" x14ac:dyDescent="0.45">
      <c r="A10" s="6" t="s">
        <v>118</v>
      </c>
      <c r="B10" s="6" t="s">
        <v>118</v>
      </c>
    </row>
    <row r="11" spans="1:2" x14ac:dyDescent="0.45">
      <c r="A11" s="6" t="s">
        <v>117</v>
      </c>
      <c r="B11" s="6" t="s">
        <v>117</v>
      </c>
    </row>
    <row r="12" spans="1:2" x14ac:dyDescent="0.45">
      <c r="A12" s="6" t="s">
        <v>116</v>
      </c>
      <c r="B12" s="6" t="s">
        <v>116</v>
      </c>
    </row>
    <row r="13" spans="1:2" x14ac:dyDescent="0.45">
      <c r="A13" s="6" t="s">
        <v>114</v>
      </c>
      <c r="B13" s="6" t="s">
        <v>115</v>
      </c>
    </row>
    <row r="14" spans="1:2" x14ac:dyDescent="0.45">
      <c r="A14" s="6" t="s">
        <v>112</v>
      </c>
      <c r="B14" s="6" t="s">
        <v>113</v>
      </c>
    </row>
    <row r="15" spans="1:2" x14ac:dyDescent="0.45">
      <c r="A15" s="6" t="s">
        <v>110</v>
      </c>
      <c r="B15" s="6" t="s">
        <v>111</v>
      </c>
    </row>
    <row r="16" spans="1:2" x14ac:dyDescent="0.45">
      <c r="A16" s="6" t="s">
        <v>109</v>
      </c>
      <c r="B16" s="6" t="s">
        <v>109</v>
      </c>
    </row>
    <row r="17" spans="1:2" x14ac:dyDescent="0.45">
      <c r="A17" s="6" t="s">
        <v>108</v>
      </c>
      <c r="B17" s="6" t="s">
        <v>108</v>
      </c>
    </row>
    <row r="18" spans="1:2" x14ac:dyDescent="0.45">
      <c r="A18" s="6" t="s">
        <v>135</v>
      </c>
      <c r="B18" s="6" t="s">
        <v>103</v>
      </c>
    </row>
    <row r="19" spans="1:2" x14ac:dyDescent="0.45">
      <c r="A19" s="6" t="s">
        <v>136</v>
      </c>
      <c r="B19" s="6" t="s">
        <v>103</v>
      </c>
    </row>
    <row r="20" spans="1:2" x14ac:dyDescent="0.45">
      <c r="A20" s="6" t="s">
        <v>137</v>
      </c>
      <c r="B20" s="6" t="s">
        <v>103</v>
      </c>
    </row>
    <row r="21" spans="1:2" x14ac:dyDescent="0.45">
      <c r="A21" s="6" t="s">
        <v>138</v>
      </c>
      <c r="B21" s="6" t="s">
        <v>103</v>
      </c>
    </row>
    <row r="22" spans="1:2" x14ac:dyDescent="0.45">
      <c r="A22" s="6" t="s">
        <v>139</v>
      </c>
      <c r="B22" s="6" t="s">
        <v>100</v>
      </c>
    </row>
    <row r="23" spans="1:2" x14ac:dyDescent="0.45">
      <c r="A23" s="6" t="s">
        <v>140</v>
      </c>
      <c r="B23" s="6" t="s">
        <v>100</v>
      </c>
    </row>
    <row r="24" spans="1:2" x14ac:dyDescent="0.45">
      <c r="A24" s="6" t="s">
        <v>141</v>
      </c>
      <c r="B24" s="6" t="s">
        <v>95</v>
      </c>
    </row>
    <row r="25" spans="1:2" x14ac:dyDescent="0.45">
      <c r="A25" s="6" t="s">
        <v>142</v>
      </c>
      <c r="B25" s="6" t="s">
        <v>95</v>
      </c>
    </row>
    <row r="26" spans="1:2" x14ac:dyDescent="0.45">
      <c r="A26" s="6" t="s">
        <v>143</v>
      </c>
      <c r="B26" s="6" t="s">
        <v>95</v>
      </c>
    </row>
    <row r="27" spans="1:2" x14ac:dyDescent="0.45">
      <c r="A27" s="6" t="s">
        <v>144</v>
      </c>
      <c r="B27" s="6" t="s">
        <v>95</v>
      </c>
    </row>
    <row r="28" spans="1:2" x14ac:dyDescent="0.45">
      <c r="A28" s="6" t="s">
        <v>145</v>
      </c>
      <c r="B28" s="6" t="s">
        <v>86</v>
      </c>
    </row>
    <row r="29" spans="1:2" x14ac:dyDescent="0.45">
      <c r="A29" s="6" t="s">
        <v>146</v>
      </c>
      <c r="B29" s="6" t="s">
        <v>86</v>
      </c>
    </row>
    <row r="30" spans="1:2" x14ac:dyDescent="0.45">
      <c r="A30" s="6" t="s">
        <v>147</v>
      </c>
      <c r="B30" s="6" t="s">
        <v>86</v>
      </c>
    </row>
    <row r="31" spans="1:2" x14ac:dyDescent="0.45">
      <c r="A31" s="6" t="s">
        <v>148</v>
      </c>
      <c r="B31" s="6" t="s">
        <v>86</v>
      </c>
    </row>
    <row r="32" spans="1:2" x14ac:dyDescent="0.45">
      <c r="A32" s="6" t="s">
        <v>149</v>
      </c>
      <c r="B32" s="6" t="s">
        <v>86</v>
      </c>
    </row>
    <row r="33" spans="1:2" x14ac:dyDescent="0.45">
      <c r="A33" s="6" t="s">
        <v>150</v>
      </c>
      <c r="B33" s="6" t="s">
        <v>86</v>
      </c>
    </row>
    <row r="34" spans="1:2" x14ac:dyDescent="0.45">
      <c r="A34" s="6" t="s">
        <v>151</v>
      </c>
      <c r="B34" s="6" t="s">
        <v>86</v>
      </c>
    </row>
    <row r="35" spans="1:2" x14ac:dyDescent="0.45">
      <c r="A35" s="6" t="s">
        <v>152</v>
      </c>
      <c r="B35" s="6" t="s">
        <v>86</v>
      </c>
    </row>
    <row r="36" spans="1:2" x14ac:dyDescent="0.45">
      <c r="A36" s="6" t="s">
        <v>153</v>
      </c>
      <c r="B36" s="6" t="s">
        <v>83</v>
      </c>
    </row>
    <row r="37" spans="1:2" x14ac:dyDescent="0.45">
      <c r="A37" s="6" t="s">
        <v>154</v>
      </c>
      <c r="B37" s="6" t="s">
        <v>83</v>
      </c>
    </row>
    <row r="38" spans="1:2" x14ac:dyDescent="0.45">
      <c r="A38" s="6" t="s">
        <v>155</v>
      </c>
      <c r="B38" s="6" t="s">
        <v>81</v>
      </c>
    </row>
    <row r="39" spans="1:2" x14ac:dyDescent="0.45">
      <c r="A39" s="6" t="s">
        <v>156</v>
      </c>
      <c r="B39" s="6" t="s">
        <v>79</v>
      </c>
    </row>
    <row r="40" spans="1:2" x14ac:dyDescent="0.45">
      <c r="A40" s="6" t="s">
        <v>157</v>
      </c>
      <c r="B40" s="6" t="s">
        <v>77</v>
      </c>
    </row>
    <row r="41" spans="1:2" x14ac:dyDescent="0.45">
      <c r="A41" s="6" t="s">
        <v>158</v>
      </c>
      <c r="B41" s="6" t="s">
        <v>71</v>
      </c>
    </row>
    <row r="42" spans="1:2" x14ac:dyDescent="0.45">
      <c r="A42" s="6" t="s">
        <v>160</v>
      </c>
      <c r="B42" s="6" t="s">
        <v>71</v>
      </c>
    </row>
    <row r="43" spans="1:2" x14ac:dyDescent="0.45">
      <c r="A43" s="6" t="s">
        <v>161</v>
      </c>
      <c r="B43" s="6" t="s">
        <v>71</v>
      </c>
    </row>
    <row r="44" spans="1:2" x14ac:dyDescent="0.45">
      <c r="A44" s="6" t="s">
        <v>162</v>
      </c>
      <c r="B44" s="6" t="s">
        <v>71</v>
      </c>
    </row>
    <row r="45" spans="1:2" x14ac:dyDescent="0.45">
      <c r="A45" s="6" t="s">
        <v>163</v>
      </c>
      <c r="B45" s="6" t="s">
        <v>66</v>
      </c>
    </row>
    <row r="46" spans="1:2" x14ac:dyDescent="0.45">
      <c r="A46" s="6" t="s">
        <v>164</v>
      </c>
      <c r="B46" s="6" t="s">
        <v>66</v>
      </c>
    </row>
    <row r="47" spans="1:2" x14ac:dyDescent="0.45">
      <c r="A47" s="6" t="s">
        <v>165</v>
      </c>
      <c r="B47" s="6" t="s">
        <v>66</v>
      </c>
    </row>
    <row r="48" spans="1:2" x14ac:dyDescent="0.45">
      <c r="A48" s="6" t="s">
        <v>166</v>
      </c>
      <c r="B48" s="6" t="s">
        <v>66</v>
      </c>
    </row>
    <row r="49" spans="1:2" x14ac:dyDescent="0.45">
      <c r="A49" s="6" t="s">
        <v>167</v>
      </c>
      <c r="B49" s="6" t="s">
        <v>61</v>
      </c>
    </row>
    <row r="50" spans="1:2" x14ac:dyDescent="0.45">
      <c r="A50" s="6" t="s">
        <v>168</v>
      </c>
      <c r="B50" s="6" t="s">
        <v>61</v>
      </c>
    </row>
    <row r="51" spans="1:2" x14ac:dyDescent="0.45">
      <c r="A51" s="6" t="s">
        <v>169</v>
      </c>
      <c r="B51" s="6" t="s">
        <v>61</v>
      </c>
    </row>
    <row r="52" spans="1:2" x14ac:dyDescent="0.45">
      <c r="A52" s="6" t="s">
        <v>170</v>
      </c>
      <c r="B52" s="6" t="s">
        <v>61</v>
      </c>
    </row>
    <row r="53" spans="1:2" x14ac:dyDescent="0.45">
      <c r="A53" s="6" t="s">
        <v>171</v>
      </c>
      <c r="B53" s="6" t="s">
        <v>59</v>
      </c>
    </row>
    <row r="54" spans="1:2" x14ac:dyDescent="0.45">
      <c r="A54" s="6" t="s">
        <v>172</v>
      </c>
      <c r="B54" s="6" t="s">
        <v>57</v>
      </c>
    </row>
    <row r="55" spans="1:2" x14ac:dyDescent="0.45">
      <c r="A55" s="6" t="s">
        <v>173</v>
      </c>
      <c r="B55" s="6" t="s">
        <v>55</v>
      </c>
    </row>
    <row r="56" spans="1:2" x14ac:dyDescent="0.45">
      <c r="A56" s="6" t="s">
        <v>174</v>
      </c>
      <c r="B56" s="6" t="s">
        <v>50</v>
      </c>
    </row>
    <row r="57" spans="1:2" x14ac:dyDescent="0.45">
      <c r="A57" s="6" t="s">
        <v>175</v>
      </c>
      <c r="B57" s="6" t="s">
        <v>50</v>
      </c>
    </row>
    <row r="58" spans="1:2" x14ac:dyDescent="0.45">
      <c r="A58" s="6" t="s">
        <v>176</v>
      </c>
      <c r="B58" s="6" t="s">
        <v>50</v>
      </c>
    </row>
    <row r="59" spans="1:2" x14ac:dyDescent="0.45">
      <c r="A59" s="6" t="s">
        <v>177</v>
      </c>
      <c r="B59" s="6" t="s">
        <v>50</v>
      </c>
    </row>
    <row r="60" spans="1:2" x14ac:dyDescent="0.45">
      <c r="A60" s="6" t="s">
        <v>178</v>
      </c>
      <c r="B60" s="6" t="s">
        <v>41</v>
      </c>
    </row>
    <row r="61" spans="1:2" x14ac:dyDescent="0.45">
      <c r="A61" s="6" t="s">
        <v>179</v>
      </c>
      <c r="B61" s="6" t="s">
        <v>41</v>
      </c>
    </row>
    <row r="62" spans="1:2" x14ac:dyDescent="0.45">
      <c r="A62" s="6" t="s">
        <v>180</v>
      </c>
      <c r="B62" s="6" t="s">
        <v>41</v>
      </c>
    </row>
    <row r="63" spans="1:2" x14ac:dyDescent="0.45">
      <c r="A63" s="6" t="s">
        <v>181</v>
      </c>
      <c r="B63" s="6" t="s">
        <v>41</v>
      </c>
    </row>
    <row r="64" spans="1:2" x14ac:dyDescent="0.45">
      <c r="A64" s="6" t="s">
        <v>182</v>
      </c>
      <c r="B64" s="6" t="s">
        <v>41</v>
      </c>
    </row>
    <row r="65" spans="1:2" x14ac:dyDescent="0.45">
      <c r="A65" s="6" t="s">
        <v>183</v>
      </c>
      <c r="B65" s="6" t="s">
        <v>41</v>
      </c>
    </row>
    <row r="66" spans="1:2" x14ac:dyDescent="0.45">
      <c r="A66" s="6" t="s">
        <v>184</v>
      </c>
      <c r="B66" s="6" t="s">
        <v>41</v>
      </c>
    </row>
    <row r="67" spans="1:2" x14ac:dyDescent="0.45">
      <c r="A67" s="6" t="s">
        <v>185</v>
      </c>
      <c r="B67" s="6" t="s">
        <v>41</v>
      </c>
    </row>
    <row r="68" spans="1:2" x14ac:dyDescent="0.45">
      <c r="A68" s="6" t="s">
        <v>186</v>
      </c>
      <c r="B68" s="6" t="s">
        <v>35</v>
      </c>
    </row>
    <row r="69" spans="1:2" x14ac:dyDescent="0.45">
      <c r="A69" s="6" t="s">
        <v>187</v>
      </c>
      <c r="B69" s="6" t="s">
        <v>35</v>
      </c>
    </row>
    <row r="70" spans="1:2" x14ac:dyDescent="0.45">
      <c r="A70" s="6" t="s">
        <v>188</v>
      </c>
      <c r="B70" s="6" t="s">
        <v>35</v>
      </c>
    </row>
    <row r="71" spans="1:2" x14ac:dyDescent="0.45">
      <c r="A71" s="6" t="s">
        <v>189</v>
      </c>
      <c r="B71" s="6" t="s">
        <v>35</v>
      </c>
    </row>
    <row r="72" spans="1:2" x14ac:dyDescent="0.45">
      <c r="A72" s="6" t="s">
        <v>190</v>
      </c>
      <c r="B72" s="6" t="s">
        <v>30</v>
      </c>
    </row>
    <row r="73" spans="1:2" x14ac:dyDescent="0.45">
      <c r="A73" s="6" t="s">
        <v>191</v>
      </c>
      <c r="B73" s="6" t="s">
        <v>30</v>
      </c>
    </row>
    <row r="74" spans="1:2" x14ac:dyDescent="0.45">
      <c r="A74" s="6" t="s">
        <v>192</v>
      </c>
      <c r="B74" s="6" t="s">
        <v>30</v>
      </c>
    </row>
    <row r="75" spans="1:2" x14ac:dyDescent="0.45">
      <c r="A75" s="6" t="s">
        <v>193</v>
      </c>
      <c r="B75" s="6" t="s">
        <v>30</v>
      </c>
    </row>
    <row r="76" spans="1:2" x14ac:dyDescent="0.45">
      <c r="A76" s="6" t="s">
        <v>194</v>
      </c>
      <c r="B76" s="6" t="s">
        <v>28</v>
      </c>
    </row>
    <row r="77" spans="1:2" x14ac:dyDescent="0.45">
      <c r="A77" s="6" t="s">
        <v>25</v>
      </c>
      <c r="B77" s="6" t="s">
        <v>25</v>
      </c>
    </row>
    <row r="78" spans="1:2" x14ac:dyDescent="0.45">
      <c r="A78" s="6" t="s">
        <v>24</v>
      </c>
      <c r="B78" s="6" t="s">
        <v>24</v>
      </c>
    </row>
    <row r="79" spans="1:2" x14ac:dyDescent="0.45">
      <c r="A79" s="6" t="s">
        <v>23</v>
      </c>
      <c r="B79" s="6" t="s">
        <v>23</v>
      </c>
    </row>
    <row r="80" spans="1:2" x14ac:dyDescent="0.45">
      <c r="A80" s="6" t="s">
        <v>21</v>
      </c>
      <c r="B80" s="6" t="s">
        <v>22</v>
      </c>
    </row>
    <row r="81" spans="1:2" x14ac:dyDescent="0.45">
      <c r="A81" s="6" t="s">
        <v>20</v>
      </c>
      <c r="B81" s="6" t="s">
        <v>20</v>
      </c>
    </row>
    <row r="82" spans="1:2" x14ac:dyDescent="0.45">
      <c r="A82" s="6" t="s">
        <v>19</v>
      </c>
      <c r="B82" s="6" t="s">
        <v>19</v>
      </c>
    </row>
    <row r="83" spans="1:2" x14ac:dyDescent="0.45">
      <c r="A83" s="6" t="s">
        <v>18</v>
      </c>
      <c r="B83" s="6" t="s">
        <v>18</v>
      </c>
    </row>
    <row r="84" spans="1:2" x14ac:dyDescent="0.45">
      <c r="A84" s="6" t="s">
        <v>17</v>
      </c>
      <c r="B84" s="6" t="s">
        <v>17</v>
      </c>
    </row>
    <row r="85" spans="1:2" x14ac:dyDescent="0.45">
      <c r="A85" s="6" t="s">
        <v>16</v>
      </c>
      <c r="B85" s="6" t="s">
        <v>16</v>
      </c>
    </row>
    <row r="86" spans="1:2" x14ac:dyDescent="0.45">
      <c r="A86" s="6" t="s">
        <v>15</v>
      </c>
      <c r="B86" s="6" t="s">
        <v>15</v>
      </c>
    </row>
    <row r="87" spans="1:2" x14ac:dyDescent="0.45">
      <c r="A87" s="6" t="s">
        <v>14</v>
      </c>
      <c r="B87" s="6" t="s">
        <v>14</v>
      </c>
    </row>
    <row r="88" spans="1:2" x14ac:dyDescent="0.45">
      <c r="A88" s="6" t="s">
        <v>13</v>
      </c>
      <c r="B88" s="6" t="s">
        <v>13</v>
      </c>
    </row>
    <row r="89" spans="1:2" x14ac:dyDescent="0.45">
      <c r="A89" s="6" t="s">
        <v>11</v>
      </c>
      <c r="B89" s="6" t="s">
        <v>12</v>
      </c>
    </row>
    <row r="90" spans="1:2" x14ac:dyDescent="0.45">
      <c r="A90" s="6" t="s">
        <v>159</v>
      </c>
      <c r="B90" s="6" t="s">
        <v>159</v>
      </c>
    </row>
    <row r="91" spans="1:2" x14ac:dyDescent="0.45">
      <c r="A91" s="6" t="s">
        <v>195</v>
      </c>
      <c r="B91" s="6" t="s">
        <v>8</v>
      </c>
    </row>
    <row r="92" spans="1:2" x14ac:dyDescent="0.45">
      <c r="A92" s="6" t="s">
        <v>196</v>
      </c>
      <c r="B92" s="6" t="s">
        <v>8</v>
      </c>
    </row>
    <row r="93" spans="1:2" x14ac:dyDescent="0.45">
      <c r="A93" s="6" t="s">
        <v>197</v>
      </c>
      <c r="B93" s="6" t="s">
        <v>6</v>
      </c>
    </row>
    <row r="94" spans="1:2" x14ac:dyDescent="0.45">
      <c r="A94" s="6" t="s">
        <v>198</v>
      </c>
      <c r="B94" s="6" t="s">
        <v>4</v>
      </c>
    </row>
    <row r="95" spans="1:2" x14ac:dyDescent="0.45">
      <c r="A95" s="6" t="s">
        <v>199</v>
      </c>
      <c r="B95" s="6" t="s">
        <v>2</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A6B99-1271-4FC2-8306-B02DA33592F8}">
  <dimension ref="A1:G82"/>
  <sheetViews>
    <sheetView zoomScaleNormal="100" workbookViewId="0"/>
  </sheetViews>
  <sheetFormatPr defaultColWidth="9" defaultRowHeight="16.2" x14ac:dyDescent="0.45"/>
  <cols>
    <col min="1" max="1" width="26.59765625" style="3" bestFit="1" customWidth="1"/>
    <col min="2" max="2" width="8.8984375" style="3" bestFit="1" customWidth="1"/>
    <col min="3" max="3" width="21.5" style="4" bestFit="1" customWidth="1"/>
    <col min="4" max="4" width="25.59765625" style="4" bestFit="1" customWidth="1"/>
    <col min="5" max="5" width="19.3984375" style="4" bestFit="1" customWidth="1"/>
    <col min="6" max="6" width="23.59765625" style="4" bestFit="1" customWidth="1"/>
    <col min="7" max="7" width="9" style="3" bestFit="1" customWidth="1"/>
    <col min="8" max="16384" width="9" style="3"/>
  </cols>
  <sheetData>
    <row r="1" spans="1:7" x14ac:dyDescent="0.45">
      <c r="A1" s="3" t="s">
        <v>206</v>
      </c>
      <c r="B1" s="3" t="s">
        <v>134</v>
      </c>
      <c r="C1" s="4" t="s">
        <v>281</v>
      </c>
      <c r="D1" s="4" t="s">
        <v>282</v>
      </c>
      <c r="E1" s="4" t="s">
        <v>283</v>
      </c>
      <c r="F1" s="4" t="s">
        <v>284</v>
      </c>
      <c r="G1" s="3" t="s">
        <v>213</v>
      </c>
    </row>
    <row r="2" spans="1:7" x14ac:dyDescent="0.45">
      <c r="A2" s="3" t="s">
        <v>130</v>
      </c>
      <c r="B2" s="3">
        <v>79</v>
      </c>
      <c r="C2" s="4">
        <v>90205.589743589706</v>
      </c>
      <c r="D2" s="4">
        <v>18689.1200527074</v>
      </c>
      <c r="E2" s="4">
        <v>86443.379746835402</v>
      </c>
      <c r="F2" s="4">
        <v>1605.37903804439</v>
      </c>
      <c r="G2" s="5">
        <v>1.04424350513097</v>
      </c>
    </row>
    <row r="3" spans="1:7" x14ac:dyDescent="0.45">
      <c r="A3" s="3" t="s">
        <v>129</v>
      </c>
      <c r="B3" s="3">
        <v>18</v>
      </c>
      <c r="C3" s="4">
        <v>50214.055555555497</v>
      </c>
      <c r="D3" s="4">
        <v>9938.3368465096501</v>
      </c>
      <c r="E3" s="4">
        <v>55403.611111111102</v>
      </c>
      <c r="F3" s="4">
        <v>3284.3118700690602</v>
      </c>
      <c r="G3" s="5">
        <v>0.90502269876890995</v>
      </c>
    </row>
    <row r="4" spans="1:7" x14ac:dyDescent="0.45">
      <c r="A4" s="3" t="s">
        <v>110</v>
      </c>
      <c r="B4" s="3">
        <v>13</v>
      </c>
      <c r="C4" s="4">
        <v>185675.76923076899</v>
      </c>
      <c r="D4" s="4">
        <v>44938.9771924171</v>
      </c>
      <c r="E4" s="4">
        <v>104398.23076922999</v>
      </c>
      <c r="F4" s="4">
        <v>7464.1949965649701</v>
      </c>
      <c r="G4" s="5">
        <v>1.76879816726322</v>
      </c>
    </row>
    <row r="5" spans="1:7" x14ac:dyDescent="0.45">
      <c r="A5" s="3" t="s">
        <v>119</v>
      </c>
      <c r="B5" s="3">
        <v>23</v>
      </c>
      <c r="C5" s="4">
        <v>72483.217391304293</v>
      </c>
      <c r="D5" s="4">
        <v>47023.940105436697</v>
      </c>
      <c r="E5" s="4">
        <v>49724.695652173898</v>
      </c>
      <c r="F5" s="4">
        <v>3488.1547935683898</v>
      </c>
      <c r="G5" s="5">
        <v>1.4408348162526201</v>
      </c>
    </row>
    <row r="6" spans="1:7" x14ac:dyDescent="0.45">
      <c r="A6" s="3" t="s">
        <v>118</v>
      </c>
      <c r="B6" s="3">
        <v>3</v>
      </c>
      <c r="C6" s="4">
        <v>55752.333333333299</v>
      </c>
      <c r="D6" s="4">
        <v>25210.679024748399</v>
      </c>
      <c r="E6" s="4">
        <v>56346.333333333299</v>
      </c>
      <c r="F6" s="4">
        <v>5689.85256594775</v>
      </c>
      <c r="G6" s="5">
        <v>0.978064984087475</v>
      </c>
    </row>
    <row r="7" spans="1:7" x14ac:dyDescent="0.45">
      <c r="A7" s="3" t="s">
        <v>109</v>
      </c>
      <c r="B7" s="3">
        <v>1</v>
      </c>
      <c r="C7" s="4">
        <v>43626</v>
      </c>
      <c r="D7" s="4" t="s">
        <v>214</v>
      </c>
      <c r="E7" s="4">
        <v>77072</v>
      </c>
      <c r="F7" s="4" t="s">
        <v>214</v>
      </c>
      <c r="G7" s="5">
        <v>0.56604214241228901</v>
      </c>
    </row>
    <row r="8" spans="1:7" x14ac:dyDescent="0.45">
      <c r="A8" s="3" t="s">
        <v>91</v>
      </c>
      <c r="B8" s="3">
        <v>21</v>
      </c>
      <c r="C8" s="4">
        <v>2094979.66666666</v>
      </c>
      <c r="D8" s="4">
        <v>776082.85498523398</v>
      </c>
      <c r="E8" s="4">
        <v>1203221.5238095201</v>
      </c>
      <c r="F8" s="4">
        <v>98672.001537377801</v>
      </c>
      <c r="G8" s="5">
        <v>1.7405344386147701</v>
      </c>
    </row>
    <row r="9" spans="1:7" x14ac:dyDescent="0.45">
      <c r="A9" s="3" t="s">
        <v>87</v>
      </c>
      <c r="B9" s="3">
        <v>7</v>
      </c>
      <c r="C9" s="4">
        <v>2066877</v>
      </c>
      <c r="D9" s="4">
        <v>466325.42336012499</v>
      </c>
      <c r="E9" s="4">
        <v>1176426.2857142801</v>
      </c>
      <c r="F9" s="4">
        <v>17787.938977330199</v>
      </c>
      <c r="G9" s="5">
        <v>1.7574080039506399</v>
      </c>
    </row>
    <row r="10" spans="1:7" x14ac:dyDescent="0.45">
      <c r="A10" s="3" t="s">
        <v>102</v>
      </c>
      <c r="B10" s="3">
        <v>12</v>
      </c>
      <c r="C10" s="4">
        <v>3235624.16666666</v>
      </c>
      <c r="D10" s="4">
        <v>1713441.7367228901</v>
      </c>
      <c r="E10" s="4">
        <v>1828417.75</v>
      </c>
      <c r="F10" s="4">
        <v>141636.61146523501</v>
      </c>
      <c r="G10" s="5">
        <v>1.76163283798458</v>
      </c>
    </row>
    <row r="11" spans="1:7" x14ac:dyDescent="0.45">
      <c r="A11" s="3" t="s">
        <v>97</v>
      </c>
      <c r="B11" s="3">
        <v>1</v>
      </c>
      <c r="C11" s="4">
        <v>638040</v>
      </c>
      <c r="D11" s="4" t="s">
        <v>214</v>
      </c>
      <c r="E11" s="4">
        <v>2013684</v>
      </c>
      <c r="F11" s="4" t="s">
        <v>214</v>
      </c>
      <c r="G11" s="5">
        <v>0.31685209794585401</v>
      </c>
    </row>
    <row r="12" spans="1:7" x14ac:dyDescent="0.45">
      <c r="A12" s="3" t="s">
        <v>78</v>
      </c>
      <c r="B12" s="3">
        <v>17</v>
      </c>
      <c r="C12" s="4">
        <v>949457.05882352905</v>
      </c>
      <c r="D12" s="4">
        <v>214835.66384002601</v>
      </c>
      <c r="E12" s="4">
        <v>807436.41176470497</v>
      </c>
      <c r="F12" s="4">
        <v>52437.910393888698</v>
      </c>
      <c r="G12" s="5">
        <v>1.1740702114456301</v>
      </c>
    </row>
    <row r="13" spans="1:7" x14ac:dyDescent="0.45">
      <c r="A13" s="3" t="s">
        <v>76</v>
      </c>
      <c r="B13" s="3">
        <v>42</v>
      </c>
      <c r="C13" s="4">
        <v>3557485.1707317</v>
      </c>
      <c r="D13" s="4">
        <v>1374730.75620564</v>
      </c>
      <c r="E13" s="4">
        <v>2092655.59523809</v>
      </c>
      <c r="F13" s="4">
        <v>202180.14007068699</v>
      </c>
      <c r="G13" s="5">
        <v>1.7062515104668201</v>
      </c>
    </row>
    <row r="14" spans="1:7" x14ac:dyDescent="0.45">
      <c r="A14" s="3" t="s">
        <v>56</v>
      </c>
      <c r="B14" s="3">
        <v>21</v>
      </c>
      <c r="C14" s="4">
        <v>665730.42857142806</v>
      </c>
      <c r="D14" s="4">
        <v>1604172.81099822</v>
      </c>
      <c r="E14" s="4">
        <v>240040.95238095199</v>
      </c>
      <c r="F14" s="4">
        <v>17150.071615777699</v>
      </c>
      <c r="G14" s="5">
        <v>2.5613761706487201</v>
      </c>
    </row>
    <row r="15" spans="1:7" x14ac:dyDescent="0.45">
      <c r="A15" s="3" t="s">
        <v>63</v>
      </c>
      <c r="B15" s="3">
        <v>2</v>
      </c>
      <c r="C15" s="4">
        <v>320466</v>
      </c>
      <c r="D15" s="4">
        <v>82466</v>
      </c>
      <c r="E15" s="4">
        <v>298809</v>
      </c>
      <c r="F15" s="4">
        <v>20908</v>
      </c>
      <c r="G15" s="5">
        <v>1.0971601775752999</v>
      </c>
    </row>
    <row r="16" spans="1:7" x14ac:dyDescent="0.45">
      <c r="A16" s="3" t="s">
        <v>72</v>
      </c>
      <c r="B16" s="3">
        <v>12</v>
      </c>
      <c r="C16" s="4">
        <v>293376.5</v>
      </c>
      <c r="D16" s="4">
        <v>98074.652118934304</v>
      </c>
      <c r="E16" s="4">
        <v>251883.25</v>
      </c>
      <c r="F16" s="4">
        <v>11034.5907651424</v>
      </c>
      <c r="G16" s="5">
        <v>1.1626090409356</v>
      </c>
    </row>
    <row r="17" spans="1:7" x14ac:dyDescent="0.45">
      <c r="A17" s="3" t="s">
        <v>36</v>
      </c>
      <c r="B17" s="3">
        <v>9</v>
      </c>
      <c r="C17" s="4">
        <v>287096.44444444397</v>
      </c>
      <c r="D17" s="4">
        <v>78102.923948838303</v>
      </c>
      <c r="E17" s="4">
        <v>234787.11111111101</v>
      </c>
      <c r="F17" s="4">
        <v>14082.2180264051</v>
      </c>
      <c r="G17" s="5">
        <v>1.21766869527749</v>
      </c>
    </row>
    <row r="18" spans="1:7" x14ac:dyDescent="0.45">
      <c r="A18" s="3" t="s">
        <v>32</v>
      </c>
      <c r="B18" s="3">
        <v>9</v>
      </c>
      <c r="C18" s="4">
        <v>289412.44444444397</v>
      </c>
      <c r="D18" s="4">
        <v>88103.872475253898</v>
      </c>
      <c r="E18" s="4">
        <v>357356.777777777</v>
      </c>
      <c r="F18" s="4">
        <v>30125.040325571001</v>
      </c>
      <c r="G18" s="5">
        <v>0.81582371406861098</v>
      </c>
    </row>
    <row r="19" spans="1:7" x14ac:dyDescent="0.45">
      <c r="A19" s="3" t="s">
        <v>3</v>
      </c>
      <c r="B19" s="3">
        <v>12</v>
      </c>
      <c r="C19" s="4">
        <v>4830156.6666666605</v>
      </c>
      <c r="D19" s="4">
        <v>1293970.38935848</v>
      </c>
      <c r="E19" s="4">
        <v>3867902.75</v>
      </c>
      <c r="F19" s="4">
        <v>253318.47126562599</v>
      </c>
      <c r="G19" s="5">
        <v>1.2472171742996501</v>
      </c>
    </row>
    <row r="20" spans="1:7" x14ac:dyDescent="0.45">
      <c r="A20" s="3" t="s">
        <v>25</v>
      </c>
      <c r="B20" s="3">
        <v>19</v>
      </c>
      <c r="C20" s="4">
        <v>679641.84210526303</v>
      </c>
      <c r="D20" s="4">
        <v>216506.295822707</v>
      </c>
      <c r="E20" s="4">
        <v>275828.73684210499</v>
      </c>
      <c r="F20" s="4">
        <v>15095.385149955</v>
      </c>
      <c r="G20" s="5">
        <v>2.4409620399734502</v>
      </c>
    </row>
    <row r="21" spans="1:7" x14ac:dyDescent="0.45">
      <c r="A21" s="3" t="s">
        <v>23</v>
      </c>
      <c r="B21" s="3">
        <v>66</v>
      </c>
      <c r="C21" s="4">
        <v>1020604.078125</v>
      </c>
      <c r="D21" s="4">
        <v>693564.78924201604</v>
      </c>
      <c r="E21" s="4">
        <v>397432.909090909</v>
      </c>
      <c r="F21" s="4">
        <v>31548.364261840801</v>
      </c>
      <c r="G21" s="5">
        <v>2.58473189918797</v>
      </c>
    </row>
    <row r="22" spans="1:7" x14ac:dyDescent="0.45">
      <c r="A22" s="3" t="s">
        <v>18</v>
      </c>
      <c r="B22" s="3">
        <v>6</v>
      </c>
      <c r="C22" s="4">
        <v>753411.5</v>
      </c>
      <c r="D22" s="4">
        <v>310716.27699330897</v>
      </c>
      <c r="E22" s="4">
        <v>487700</v>
      </c>
      <c r="F22" s="4">
        <v>27603.866818497201</v>
      </c>
      <c r="G22" s="5">
        <v>1.5532712344031501</v>
      </c>
    </row>
    <row r="23" spans="1:7" x14ac:dyDescent="0.45">
      <c r="A23" s="3" t="s">
        <v>54</v>
      </c>
      <c r="B23" s="3">
        <v>2</v>
      </c>
      <c r="C23" s="4">
        <v>444722</v>
      </c>
      <c r="D23" s="4">
        <v>105801</v>
      </c>
      <c r="E23" s="4">
        <v>366235</v>
      </c>
      <c r="F23" s="4">
        <v>31163</v>
      </c>
      <c r="G23" s="5">
        <v>1.1984030417343701</v>
      </c>
    </row>
    <row r="24" spans="1:7" x14ac:dyDescent="0.45">
      <c r="A24" s="3" t="s">
        <v>53</v>
      </c>
      <c r="B24" s="3">
        <v>3</v>
      </c>
      <c r="C24" s="4">
        <v>694116</v>
      </c>
      <c r="D24" s="4">
        <v>61382.839708396197</v>
      </c>
      <c r="E24" s="4">
        <v>382737.66666666599</v>
      </c>
      <c r="F24" s="4">
        <v>9305.0538358941703</v>
      </c>
      <c r="G24" s="5">
        <v>1.8154987022823299</v>
      </c>
    </row>
    <row r="25" spans="1:7" x14ac:dyDescent="0.45">
      <c r="A25" s="3" t="s">
        <v>80</v>
      </c>
      <c r="B25" s="3">
        <v>7</v>
      </c>
      <c r="C25" s="4">
        <v>504826.85714285698</v>
      </c>
      <c r="D25" s="4">
        <v>119550.162310254</v>
      </c>
      <c r="E25" s="4">
        <v>290519.71428571403</v>
      </c>
      <c r="F25" s="4">
        <v>23410.4473730016</v>
      </c>
      <c r="G25" s="5">
        <v>1.7325225106417299</v>
      </c>
    </row>
    <row r="26" spans="1:7" x14ac:dyDescent="0.45">
      <c r="A26" s="3" t="s">
        <v>88</v>
      </c>
      <c r="B26" s="3">
        <v>3</v>
      </c>
      <c r="C26" s="4">
        <v>4085566.3333333302</v>
      </c>
      <c r="D26" s="4">
        <v>1343174.4132527499</v>
      </c>
      <c r="E26" s="4">
        <v>2470234.66666666</v>
      </c>
      <c r="F26" s="4">
        <v>232174.079834267</v>
      </c>
      <c r="G26" s="5">
        <v>1.71489275360001</v>
      </c>
    </row>
    <row r="27" spans="1:7" x14ac:dyDescent="0.45">
      <c r="A27" s="3" t="s">
        <v>92</v>
      </c>
      <c r="B27" s="3">
        <v>7</v>
      </c>
      <c r="C27" s="4">
        <v>5882879</v>
      </c>
      <c r="D27" s="4">
        <v>3411872.39574573</v>
      </c>
      <c r="E27" s="4">
        <v>1640461.7142857099</v>
      </c>
      <c r="F27" s="4">
        <v>142515.39545277599</v>
      </c>
      <c r="G27" s="5">
        <v>3.6060347933485599</v>
      </c>
    </row>
    <row r="28" spans="1:7" x14ac:dyDescent="0.45">
      <c r="A28" s="3" t="s">
        <v>105</v>
      </c>
      <c r="B28" s="3">
        <v>3</v>
      </c>
      <c r="C28" s="4">
        <v>5690655.3333333302</v>
      </c>
      <c r="D28" s="4">
        <v>3172516.2152866698</v>
      </c>
      <c r="E28" s="4">
        <v>1284376.33333333</v>
      </c>
      <c r="F28" s="4">
        <v>61284.512346559102</v>
      </c>
      <c r="G28" s="5">
        <v>4.3374693064355601</v>
      </c>
    </row>
    <row r="29" spans="1:7" x14ac:dyDescent="0.45">
      <c r="A29" s="3" t="s">
        <v>7</v>
      </c>
      <c r="B29" s="3">
        <v>24</v>
      </c>
      <c r="C29" s="4">
        <v>2151876.7083333302</v>
      </c>
      <c r="D29" s="4">
        <v>965173.29042973195</v>
      </c>
      <c r="E29" s="4">
        <v>1500971.45833333</v>
      </c>
      <c r="F29" s="4">
        <v>30158.140418438601</v>
      </c>
      <c r="G29" s="5">
        <v>1.43349764255815</v>
      </c>
    </row>
    <row r="30" spans="1:7" x14ac:dyDescent="0.45">
      <c r="A30" s="3" t="s">
        <v>21</v>
      </c>
      <c r="B30" s="3">
        <v>47</v>
      </c>
      <c r="C30" s="4">
        <v>831452.77777777705</v>
      </c>
      <c r="D30" s="4">
        <v>258177.84588430799</v>
      </c>
      <c r="E30" s="4">
        <v>389392.12765957398</v>
      </c>
      <c r="F30" s="4">
        <v>25779.942285409001</v>
      </c>
      <c r="G30" s="5">
        <v>2.1371634064007998</v>
      </c>
    </row>
    <row r="31" spans="1:7" x14ac:dyDescent="0.45">
      <c r="A31" s="3" t="s">
        <v>106</v>
      </c>
      <c r="B31" s="3">
        <v>11</v>
      </c>
      <c r="C31" s="4">
        <v>1215931.18181818</v>
      </c>
      <c r="D31" s="4">
        <v>328967.78592296498</v>
      </c>
      <c r="E31" s="4">
        <v>669744.27272727201</v>
      </c>
      <c r="F31" s="4">
        <v>57853.508231945598</v>
      </c>
      <c r="G31" s="5">
        <v>1.8355166489697501</v>
      </c>
    </row>
    <row r="32" spans="1:7" x14ac:dyDescent="0.45">
      <c r="A32" s="3" t="s">
        <v>84</v>
      </c>
      <c r="B32" s="3">
        <v>10</v>
      </c>
      <c r="C32" s="4">
        <v>555948.69999999995</v>
      </c>
      <c r="D32" s="4">
        <v>111013.708329241</v>
      </c>
      <c r="E32" s="4">
        <v>369687</v>
      </c>
      <c r="F32" s="4">
        <v>17647.778551421099</v>
      </c>
      <c r="G32" s="5">
        <v>1.49905838510314</v>
      </c>
    </row>
    <row r="33" spans="1:7" x14ac:dyDescent="0.45">
      <c r="A33" s="3" t="s">
        <v>82</v>
      </c>
      <c r="B33" s="3">
        <v>6</v>
      </c>
      <c r="C33" s="4">
        <v>1010889.83333333</v>
      </c>
      <c r="D33" s="4">
        <v>131801.75361683199</v>
      </c>
      <c r="E33" s="4">
        <v>433287.16666666599</v>
      </c>
      <c r="F33" s="4">
        <v>3872.6848747204899</v>
      </c>
      <c r="G33" s="5">
        <v>2.3329960510966301</v>
      </c>
    </row>
    <row r="34" spans="1:7" x14ac:dyDescent="0.45">
      <c r="A34" s="3" t="s">
        <v>96</v>
      </c>
      <c r="B34" s="3">
        <v>4</v>
      </c>
      <c r="C34" s="4">
        <v>1597109.5</v>
      </c>
      <c r="D34" s="4">
        <v>663442.58759311598</v>
      </c>
      <c r="E34" s="4">
        <v>1138108.75</v>
      </c>
      <c r="F34" s="4">
        <v>97890.092507809401</v>
      </c>
      <c r="G34" s="5">
        <v>1.3676376952068201</v>
      </c>
    </row>
    <row r="35" spans="1:7" x14ac:dyDescent="0.45">
      <c r="A35" s="3" t="s">
        <v>101</v>
      </c>
      <c r="B35" s="3">
        <v>20</v>
      </c>
      <c r="C35" s="4">
        <v>1096758.2105263099</v>
      </c>
      <c r="D35" s="4">
        <v>327401.51956847199</v>
      </c>
      <c r="E35" s="4">
        <v>689807.15</v>
      </c>
      <c r="F35" s="4">
        <v>49352.001549354602</v>
      </c>
      <c r="G35" s="5">
        <v>1.5910796809230301</v>
      </c>
    </row>
    <row r="36" spans="1:7" x14ac:dyDescent="0.45">
      <c r="A36" s="3" t="s">
        <v>51</v>
      </c>
      <c r="B36" s="3">
        <v>11</v>
      </c>
      <c r="C36" s="4">
        <v>566278.54545454495</v>
      </c>
      <c r="D36" s="4">
        <v>128201.709438584</v>
      </c>
      <c r="E36" s="4">
        <v>380253.636363636</v>
      </c>
      <c r="F36" s="4">
        <v>17218.4748679103</v>
      </c>
      <c r="G36" s="5">
        <v>1.4887513842797999</v>
      </c>
    </row>
    <row r="37" spans="1:7" x14ac:dyDescent="0.45">
      <c r="A37" s="3" t="s">
        <v>9</v>
      </c>
      <c r="B37" s="3">
        <v>24</v>
      </c>
      <c r="C37" s="4">
        <v>875264.91666666605</v>
      </c>
      <c r="D37" s="4">
        <v>194519.856705966</v>
      </c>
      <c r="E37" s="4">
        <v>609883.625</v>
      </c>
      <c r="F37" s="4">
        <v>43648.215276431503</v>
      </c>
      <c r="G37" s="5">
        <v>1.44383866279877</v>
      </c>
    </row>
    <row r="38" spans="1:7" x14ac:dyDescent="0.45">
      <c r="A38" s="3" t="s">
        <v>20</v>
      </c>
      <c r="B38" s="3">
        <v>25</v>
      </c>
      <c r="C38" s="4">
        <v>854511</v>
      </c>
      <c r="D38" s="4">
        <v>331454.75729790999</v>
      </c>
      <c r="E38" s="4">
        <v>337563.96</v>
      </c>
      <c r="F38" s="4">
        <v>16576.319860523901</v>
      </c>
      <c r="G38" s="5">
        <v>2.5203799987241</v>
      </c>
    </row>
    <row r="39" spans="1:7" x14ac:dyDescent="0.45">
      <c r="A39" s="3" t="s">
        <v>27</v>
      </c>
      <c r="B39" s="3">
        <v>11</v>
      </c>
      <c r="C39" s="4">
        <v>324330.909090909</v>
      </c>
      <c r="D39" s="4">
        <v>96829.294691463496</v>
      </c>
      <c r="E39" s="4">
        <v>183517.909090909</v>
      </c>
      <c r="F39" s="4">
        <v>17204.4753186993</v>
      </c>
      <c r="G39" s="5">
        <v>1.7550312934452299</v>
      </c>
    </row>
    <row r="40" spans="1:7" x14ac:dyDescent="0.45">
      <c r="A40" s="3" t="s">
        <v>104</v>
      </c>
      <c r="B40" s="3">
        <v>15</v>
      </c>
      <c r="C40" s="4">
        <v>1612707.6</v>
      </c>
      <c r="D40" s="4">
        <v>465800.461134994</v>
      </c>
      <c r="E40" s="4">
        <v>650244.46666666598</v>
      </c>
      <c r="F40" s="4">
        <v>53403.392505054297</v>
      </c>
      <c r="G40" s="5">
        <v>2.48238645437061</v>
      </c>
    </row>
    <row r="41" spans="1:7" x14ac:dyDescent="0.45">
      <c r="A41" s="3" t="s">
        <v>90</v>
      </c>
      <c r="B41" s="3">
        <v>19</v>
      </c>
      <c r="C41" s="4">
        <v>2965086.66666666</v>
      </c>
      <c r="D41" s="4">
        <v>792059.83447829098</v>
      </c>
      <c r="E41" s="4">
        <v>2014538.7368421</v>
      </c>
      <c r="F41" s="4">
        <v>162720.39301006999</v>
      </c>
      <c r="G41" s="5">
        <v>1.49393652038879</v>
      </c>
    </row>
    <row r="42" spans="1:7" x14ac:dyDescent="0.45">
      <c r="A42" s="3" t="s">
        <v>68</v>
      </c>
      <c r="B42" s="3">
        <v>14</v>
      </c>
      <c r="C42" s="4">
        <v>310269.14285714203</v>
      </c>
      <c r="D42" s="4">
        <v>90762.272651342995</v>
      </c>
      <c r="E42" s="4">
        <v>262354.64285714203</v>
      </c>
      <c r="F42" s="4">
        <v>19071.684559678401</v>
      </c>
      <c r="G42" s="5">
        <v>1.1853194833295</v>
      </c>
    </row>
    <row r="43" spans="1:7" x14ac:dyDescent="0.45">
      <c r="A43" s="3" t="s">
        <v>112</v>
      </c>
      <c r="B43" s="3">
        <v>10</v>
      </c>
      <c r="C43" s="4">
        <v>279144.8</v>
      </c>
      <c r="D43" s="4">
        <v>101893.848085936</v>
      </c>
      <c r="E43" s="4">
        <v>131218.1</v>
      </c>
      <c r="F43" s="4">
        <v>10671.6089644439</v>
      </c>
      <c r="G43" s="5">
        <v>2.1463382623496798</v>
      </c>
    </row>
    <row r="44" spans="1:7" x14ac:dyDescent="0.45">
      <c r="A44" s="3" t="s">
        <v>49</v>
      </c>
      <c r="B44" s="3">
        <v>23</v>
      </c>
      <c r="C44" s="4">
        <v>533216.17391304299</v>
      </c>
      <c r="D44" s="4">
        <v>137876.66641498401</v>
      </c>
      <c r="E44" s="4">
        <v>306630.56521739101</v>
      </c>
      <c r="F44" s="4">
        <v>27169.972005275999</v>
      </c>
      <c r="G44" s="5">
        <v>1.73864621369149</v>
      </c>
    </row>
    <row r="45" spans="1:7" x14ac:dyDescent="0.45">
      <c r="A45" s="3" t="s">
        <v>31</v>
      </c>
      <c r="B45" s="3">
        <v>4</v>
      </c>
      <c r="C45" s="4">
        <v>310187.25</v>
      </c>
      <c r="D45" s="4">
        <v>60276.353839524003</v>
      </c>
      <c r="E45" s="4">
        <v>193423</v>
      </c>
      <c r="F45" s="4">
        <v>1210</v>
      </c>
      <c r="G45" s="5">
        <v>1.60215570041721</v>
      </c>
    </row>
    <row r="46" spans="1:7" x14ac:dyDescent="0.45">
      <c r="A46" s="3" t="s">
        <v>85</v>
      </c>
      <c r="B46" s="3">
        <v>5</v>
      </c>
      <c r="C46" s="4">
        <v>5257978.5999999996</v>
      </c>
      <c r="D46" s="4">
        <v>1113468.17060472</v>
      </c>
      <c r="E46" s="4">
        <v>3225067.8</v>
      </c>
      <c r="F46" s="4">
        <v>288104.578524118</v>
      </c>
      <c r="G46" s="5">
        <v>1.66552355787699</v>
      </c>
    </row>
    <row r="47" spans="1:7" x14ac:dyDescent="0.45">
      <c r="A47" s="3" t="s">
        <v>99</v>
      </c>
      <c r="B47" s="3">
        <v>6</v>
      </c>
      <c r="C47" s="4">
        <v>4097410.66666666</v>
      </c>
      <c r="D47" s="4">
        <v>1267529.50569755</v>
      </c>
      <c r="E47" s="4">
        <v>2149261.5</v>
      </c>
      <c r="F47" s="4">
        <v>42362.432656580597</v>
      </c>
      <c r="G47" s="5">
        <v>1.906482081931</v>
      </c>
    </row>
    <row r="48" spans="1:7" x14ac:dyDescent="0.45">
      <c r="A48" s="3" t="s">
        <v>70</v>
      </c>
      <c r="B48" s="3">
        <v>20</v>
      </c>
      <c r="C48" s="4">
        <v>291027</v>
      </c>
      <c r="D48" s="4">
        <v>70978.954863395906</v>
      </c>
      <c r="E48" s="4">
        <v>230647.3</v>
      </c>
      <c r="F48" s="4">
        <v>17742.481441726199</v>
      </c>
      <c r="G48" s="5">
        <v>1.2753268511902001</v>
      </c>
    </row>
    <row r="49" spans="1:7" x14ac:dyDescent="0.45">
      <c r="A49" s="3" t="s">
        <v>62</v>
      </c>
      <c r="B49" s="3">
        <v>1</v>
      </c>
      <c r="C49" s="4">
        <v>449000</v>
      </c>
      <c r="D49" s="4" t="s">
        <v>214</v>
      </c>
      <c r="E49" s="4">
        <v>299958</v>
      </c>
      <c r="F49" s="4" t="s">
        <v>214</v>
      </c>
      <c r="G49" s="5">
        <v>1.4968762293387701</v>
      </c>
    </row>
    <row r="50" spans="1:7" x14ac:dyDescent="0.45">
      <c r="A50" s="3" t="s">
        <v>60</v>
      </c>
      <c r="B50" s="3">
        <v>8</v>
      </c>
      <c r="C50" s="4">
        <v>245076.125</v>
      </c>
      <c r="D50" s="4">
        <v>102308.90852271501</v>
      </c>
      <c r="E50" s="4">
        <v>206938.5</v>
      </c>
      <c r="F50" s="4">
        <v>15003.5106225176</v>
      </c>
      <c r="G50" s="5">
        <v>1.19153357054286</v>
      </c>
    </row>
    <row r="51" spans="1:7" x14ac:dyDescent="0.45">
      <c r="A51" s="3" t="s">
        <v>58</v>
      </c>
      <c r="B51" s="3">
        <v>15</v>
      </c>
      <c r="C51" s="4">
        <v>251115.53333333301</v>
      </c>
      <c r="D51" s="4">
        <v>51848.600124936398</v>
      </c>
      <c r="E51" s="4">
        <v>198354.13333333301</v>
      </c>
      <c r="F51" s="4">
        <v>18084.137881457202</v>
      </c>
      <c r="G51" s="5">
        <v>1.2672685728462001</v>
      </c>
    </row>
    <row r="52" spans="1:7" x14ac:dyDescent="0.45">
      <c r="A52" s="3" t="s">
        <v>67</v>
      </c>
      <c r="B52" s="3">
        <v>7</v>
      </c>
      <c r="C52" s="4">
        <v>330932.28571428498</v>
      </c>
      <c r="D52" s="4">
        <v>106309.159203192</v>
      </c>
      <c r="E52" s="4">
        <v>281616.14285714203</v>
      </c>
      <c r="F52" s="4">
        <v>21976.608138320698</v>
      </c>
      <c r="G52" s="5">
        <v>1.1771340149851399</v>
      </c>
    </row>
    <row r="53" spans="1:7" x14ac:dyDescent="0.45">
      <c r="A53" s="3" t="s">
        <v>5</v>
      </c>
      <c r="B53" s="3">
        <v>11</v>
      </c>
      <c r="C53" s="4">
        <v>7395055.0909090899</v>
      </c>
      <c r="D53" s="4">
        <v>2112253.1097091702</v>
      </c>
      <c r="E53" s="4">
        <v>4532772</v>
      </c>
      <c r="F53" s="4">
        <v>396422.90790196997</v>
      </c>
      <c r="G53" s="5">
        <v>1.65540373551242</v>
      </c>
    </row>
    <row r="54" spans="1:7" x14ac:dyDescent="0.45">
      <c r="A54" s="3" t="s">
        <v>1</v>
      </c>
      <c r="B54" s="3">
        <v>8</v>
      </c>
      <c r="C54" s="4">
        <v>4880364.875</v>
      </c>
      <c r="D54" s="4">
        <v>1302149.4250576</v>
      </c>
      <c r="E54" s="4">
        <v>4436030.125</v>
      </c>
      <c r="F54" s="4">
        <v>308409.227410366</v>
      </c>
      <c r="G54" s="5">
        <v>1.1003522675542401</v>
      </c>
    </row>
    <row r="55" spans="1:7" x14ac:dyDescent="0.45">
      <c r="A55" s="3" t="s">
        <v>19</v>
      </c>
      <c r="B55" s="3">
        <v>29</v>
      </c>
      <c r="C55" s="4">
        <v>366230.42307692301</v>
      </c>
      <c r="D55" s="4">
        <v>141542.998003371</v>
      </c>
      <c r="E55" s="4">
        <v>236899.48275862</v>
      </c>
      <c r="F55" s="4">
        <v>16373.9034476135</v>
      </c>
      <c r="G55" s="5">
        <v>1.54320498920294</v>
      </c>
    </row>
    <row r="56" spans="1:7" x14ac:dyDescent="0.45">
      <c r="A56" s="3" t="s">
        <v>15</v>
      </c>
      <c r="B56" s="3">
        <v>9</v>
      </c>
      <c r="C56" s="4">
        <v>371134.66666666599</v>
      </c>
      <c r="D56" s="4">
        <v>116965.26869023</v>
      </c>
      <c r="E56" s="4">
        <v>252510.66666666599</v>
      </c>
      <c r="F56" s="4">
        <v>17906.5847354789</v>
      </c>
      <c r="G56" s="5">
        <v>1.46192036866579</v>
      </c>
    </row>
    <row r="57" spans="1:7" x14ac:dyDescent="0.45">
      <c r="A57" s="3" t="s">
        <v>13</v>
      </c>
      <c r="B57" s="3">
        <v>4</v>
      </c>
      <c r="C57" s="4">
        <v>772968.75</v>
      </c>
      <c r="D57" s="4">
        <v>456837.92165568599</v>
      </c>
      <c r="E57" s="4">
        <v>289563</v>
      </c>
      <c r="F57" s="4">
        <v>18005.2330726375</v>
      </c>
      <c r="G57" s="5">
        <v>2.6615962666600801</v>
      </c>
    </row>
    <row r="58" spans="1:7" x14ac:dyDescent="0.45">
      <c r="A58" s="3" t="s">
        <v>17</v>
      </c>
      <c r="B58" s="3">
        <v>14</v>
      </c>
      <c r="C58" s="4">
        <v>765140.35714285704</v>
      </c>
      <c r="D58" s="4">
        <v>250546.25745233599</v>
      </c>
      <c r="E58" s="4">
        <v>217083.714285714</v>
      </c>
      <c r="F58" s="4">
        <v>16161.7417441339</v>
      </c>
      <c r="G58" s="5">
        <v>3.5737012240044801</v>
      </c>
    </row>
    <row r="59" spans="1:7" x14ac:dyDescent="0.45">
      <c r="A59" s="3" t="s">
        <v>116</v>
      </c>
      <c r="B59" s="3">
        <v>3</v>
      </c>
      <c r="C59" s="4">
        <v>326333.33333333302</v>
      </c>
      <c r="D59" s="4">
        <v>27776.888874666201</v>
      </c>
      <c r="E59" s="4">
        <v>222749</v>
      </c>
      <c r="F59" s="4" t="s">
        <v>214</v>
      </c>
      <c r="G59" s="5">
        <v>1.46502715313349</v>
      </c>
    </row>
    <row r="60" spans="1:7" x14ac:dyDescent="0.45">
      <c r="A60" s="3" t="s">
        <v>73</v>
      </c>
      <c r="B60" s="3">
        <v>11</v>
      </c>
      <c r="C60" s="4">
        <v>270483.18181818101</v>
      </c>
      <c r="D60" s="4">
        <v>43445.941584327004</v>
      </c>
      <c r="E60" s="4">
        <v>231025.636363636</v>
      </c>
      <c r="F60" s="4">
        <v>20886.8747837345</v>
      </c>
      <c r="G60" s="5">
        <v>1.17739128981701</v>
      </c>
    </row>
    <row r="61" spans="1:7" x14ac:dyDescent="0.45">
      <c r="A61" s="3" t="s">
        <v>37</v>
      </c>
      <c r="B61" s="3">
        <v>4</v>
      </c>
      <c r="C61" s="4">
        <v>363217.75</v>
      </c>
      <c r="D61" s="4">
        <v>54168.068944605096</v>
      </c>
      <c r="E61" s="4">
        <v>226697.25</v>
      </c>
      <c r="F61" s="4">
        <v>17339.380775780301</v>
      </c>
      <c r="G61" s="5">
        <v>1.59793925758021</v>
      </c>
    </row>
    <row r="62" spans="1:7" x14ac:dyDescent="0.45">
      <c r="A62" s="3" t="s">
        <v>34</v>
      </c>
      <c r="B62" s="3">
        <v>9</v>
      </c>
      <c r="C62" s="4">
        <v>374344</v>
      </c>
      <c r="D62" s="4">
        <v>155630.36031214701</v>
      </c>
      <c r="E62" s="4">
        <v>193114.444444444</v>
      </c>
      <c r="F62" s="4">
        <v>16792.643310629301</v>
      </c>
      <c r="G62" s="5">
        <v>1.9400869112346599</v>
      </c>
    </row>
    <row r="63" spans="1:7" x14ac:dyDescent="0.45">
      <c r="A63" s="3" t="s">
        <v>29</v>
      </c>
      <c r="B63" s="3">
        <v>6</v>
      </c>
      <c r="C63" s="4">
        <v>224227.66666666599</v>
      </c>
      <c r="D63" s="4">
        <v>28157.485296493</v>
      </c>
      <c r="E63" s="4">
        <v>208541.5</v>
      </c>
      <c r="F63" s="4">
        <v>13901.153426364701</v>
      </c>
      <c r="G63" s="5">
        <v>1.07169765434877</v>
      </c>
    </row>
    <row r="64" spans="1:7" x14ac:dyDescent="0.45">
      <c r="A64" s="3" t="s">
        <v>98</v>
      </c>
      <c r="B64" s="3">
        <v>7</v>
      </c>
      <c r="C64" s="4">
        <v>834594.28571428498</v>
      </c>
      <c r="D64" s="4">
        <v>382991.641798286</v>
      </c>
      <c r="E64" s="4">
        <v>622218</v>
      </c>
      <c r="F64" s="4">
        <v>54545.867210213801</v>
      </c>
      <c r="G64" s="5">
        <v>1.3143844326899099</v>
      </c>
    </row>
    <row r="65" spans="1:7" x14ac:dyDescent="0.45">
      <c r="A65" s="3" t="s">
        <v>117</v>
      </c>
      <c r="B65" s="3">
        <v>7</v>
      </c>
      <c r="C65" s="4">
        <v>260641.714285714</v>
      </c>
      <c r="D65" s="4">
        <v>262397.78920764697</v>
      </c>
      <c r="E65" s="4">
        <v>60671.4285714285</v>
      </c>
      <c r="F65" s="4">
        <v>6582.6900028384498</v>
      </c>
      <c r="G65" s="5">
        <v>4.0479959602145099</v>
      </c>
    </row>
    <row r="66" spans="1:7" x14ac:dyDescent="0.45">
      <c r="A66" s="3" t="s">
        <v>114</v>
      </c>
      <c r="B66" s="3">
        <v>12</v>
      </c>
      <c r="C66" s="4">
        <v>594134.90909090894</v>
      </c>
      <c r="D66" s="4">
        <v>334393.371206171</v>
      </c>
      <c r="E66" s="4">
        <v>328329.91666666599</v>
      </c>
      <c r="F66" s="4">
        <v>38476.050655913001</v>
      </c>
      <c r="G66" s="5">
        <v>1.78548977761564</v>
      </c>
    </row>
    <row r="67" spans="1:7" x14ac:dyDescent="0.45">
      <c r="A67" s="3" t="s">
        <v>93</v>
      </c>
      <c r="B67" s="3">
        <v>2</v>
      </c>
      <c r="C67" s="4">
        <v>1257180</v>
      </c>
      <c r="D67" s="4">
        <v>173646</v>
      </c>
      <c r="E67" s="4">
        <v>810697.5</v>
      </c>
      <c r="F67" s="4">
        <v>67079.5</v>
      </c>
      <c r="G67" s="5">
        <v>1.54358371231803</v>
      </c>
    </row>
    <row r="68" spans="1:7" x14ac:dyDescent="0.45">
      <c r="A68" s="3" t="s">
        <v>126</v>
      </c>
      <c r="B68" s="3">
        <v>6</v>
      </c>
      <c r="C68" s="4">
        <v>66331.166666666599</v>
      </c>
      <c r="D68" s="4">
        <v>4394.0084363697897</v>
      </c>
      <c r="E68" s="4">
        <v>43710</v>
      </c>
      <c r="F68" s="4">
        <v>4649</v>
      </c>
      <c r="G68" s="5">
        <v>1.54183515324573</v>
      </c>
    </row>
    <row r="69" spans="1:7" x14ac:dyDescent="0.45">
      <c r="A69" s="3" t="s">
        <v>74</v>
      </c>
      <c r="B69" s="3">
        <v>5</v>
      </c>
      <c r="C69" s="4">
        <v>280493.2</v>
      </c>
      <c r="D69" s="4">
        <v>85446.841939067599</v>
      </c>
      <c r="E69" s="4">
        <v>236186.2</v>
      </c>
      <c r="F69" s="4">
        <v>16173.919678296899</v>
      </c>
      <c r="G69" s="5">
        <v>1.17219383401023</v>
      </c>
    </row>
    <row r="70" spans="1:7" x14ac:dyDescent="0.45">
      <c r="A70" s="3" t="s">
        <v>64</v>
      </c>
      <c r="B70" s="3">
        <v>2</v>
      </c>
      <c r="C70" s="4">
        <v>464636</v>
      </c>
      <c r="D70" s="4">
        <v>137136</v>
      </c>
      <c r="E70" s="4">
        <v>237412.5</v>
      </c>
      <c r="F70" s="4">
        <v>18889.5</v>
      </c>
      <c r="G70" s="5">
        <v>1.92330008090393</v>
      </c>
    </row>
    <row r="71" spans="1:7" x14ac:dyDescent="0.45">
      <c r="A71" s="3" t="s">
        <v>69</v>
      </c>
      <c r="B71" s="3">
        <v>2</v>
      </c>
      <c r="C71" s="4">
        <v>440809.5</v>
      </c>
      <c r="D71" s="4">
        <v>77727.5</v>
      </c>
      <c r="E71" s="4">
        <v>301105</v>
      </c>
      <c r="F71" s="4">
        <v>25399</v>
      </c>
      <c r="G71" s="5">
        <v>1.4525331463016999</v>
      </c>
    </row>
    <row r="72" spans="1:7" x14ac:dyDescent="0.45">
      <c r="A72" s="3" t="s">
        <v>38</v>
      </c>
      <c r="B72" s="3">
        <v>2</v>
      </c>
      <c r="C72" s="4">
        <v>417750</v>
      </c>
      <c r="D72" s="4">
        <v>152381</v>
      </c>
      <c r="E72" s="4">
        <v>231465</v>
      </c>
      <c r="F72" s="4">
        <v>5617</v>
      </c>
      <c r="G72" s="5">
        <v>1.7898866860845399</v>
      </c>
    </row>
    <row r="73" spans="1:7" x14ac:dyDescent="0.45">
      <c r="A73" s="3" t="s">
        <v>24</v>
      </c>
      <c r="B73" s="3">
        <v>56</v>
      </c>
      <c r="C73" s="4">
        <v>899754.64285714203</v>
      </c>
      <c r="D73" s="4">
        <v>976174.58660554898</v>
      </c>
      <c r="E73" s="4">
        <v>316724.64285714203</v>
      </c>
      <c r="F73" s="4">
        <v>15376.2645930907</v>
      </c>
      <c r="G73" s="5">
        <v>2.7724413492374498</v>
      </c>
    </row>
    <row r="74" spans="1:7" x14ac:dyDescent="0.45">
      <c r="A74" s="3" t="s">
        <v>14</v>
      </c>
      <c r="B74" s="3">
        <v>4</v>
      </c>
      <c r="C74" s="4">
        <v>129074</v>
      </c>
      <c r="D74" s="4">
        <v>37647.186198528303</v>
      </c>
      <c r="E74" s="4">
        <v>57773.5</v>
      </c>
      <c r="F74" s="4">
        <v>5417.8011452987002</v>
      </c>
      <c r="G74" s="5">
        <v>2.1363799543915998</v>
      </c>
    </row>
    <row r="75" spans="1:7" x14ac:dyDescent="0.45">
      <c r="A75" s="3" t="s">
        <v>48</v>
      </c>
      <c r="B75" s="3">
        <v>3</v>
      </c>
      <c r="C75" s="4">
        <v>652859</v>
      </c>
      <c r="D75" s="4">
        <v>141911</v>
      </c>
      <c r="E75" s="4">
        <v>482744.66666666599</v>
      </c>
      <c r="F75" s="4">
        <v>45999.294083955399</v>
      </c>
      <c r="G75" s="5">
        <v>1.4287790813860799</v>
      </c>
    </row>
    <row r="76" spans="1:7" x14ac:dyDescent="0.45">
      <c r="A76" s="3" t="s">
        <v>65</v>
      </c>
      <c r="B76" s="3">
        <v>12</v>
      </c>
      <c r="C76" s="4">
        <v>413193.33333333302</v>
      </c>
      <c r="D76" s="4">
        <v>63636.363848737303</v>
      </c>
      <c r="E76" s="4">
        <v>315408.66666666599</v>
      </c>
      <c r="F76" s="4">
        <v>14551.881964963201</v>
      </c>
      <c r="G76" s="5">
        <v>1.3175111347083299</v>
      </c>
    </row>
    <row r="77" spans="1:7" x14ac:dyDescent="0.45">
      <c r="A77" s="3" t="s">
        <v>127</v>
      </c>
      <c r="B77" s="3">
        <v>2</v>
      </c>
      <c r="C77" s="4">
        <v>55271.5</v>
      </c>
      <c r="D77" s="4">
        <v>711.5</v>
      </c>
      <c r="E77" s="4">
        <v>41970.5</v>
      </c>
      <c r="F77" s="4">
        <v>84.5</v>
      </c>
      <c r="G77" s="5">
        <v>1.3168842772695499</v>
      </c>
    </row>
    <row r="78" spans="1:7" x14ac:dyDescent="0.45">
      <c r="A78" s="3" t="s">
        <v>52</v>
      </c>
      <c r="B78" s="3">
        <v>3</v>
      </c>
      <c r="C78" s="4">
        <v>721340.33333333302</v>
      </c>
      <c r="D78" s="4">
        <v>97716.075526098604</v>
      </c>
      <c r="E78" s="4">
        <v>372875</v>
      </c>
      <c r="F78" s="4" t="s">
        <v>214</v>
      </c>
      <c r="G78" s="5">
        <v>1.9345365962677299</v>
      </c>
    </row>
    <row r="79" spans="1:7" x14ac:dyDescent="0.45">
      <c r="A79" s="3" t="s">
        <v>44</v>
      </c>
      <c r="B79" s="3">
        <v>5</v>
      </c>
      <c r="C79" s="4">
        <v>2971314</v>
      </c>
      <c r="D79" s="4">
        <v>1467518.8017571699</v>
      </c>
      <c r="E79" s="4">
        <v>620944.6</v>
      </c>
      <c r="F79" s="4">
        <v>50965.305322738903</v>
      </c>
      <c r="G79" s="5">
        <v>4.8283977222514203</v>
      </c>
    </row>
    <row r="80" spans="1:7" x14ac:dyDescent="0.45">
      <c r="A80" s="3" t="s">
        <v>125</v>
      </c>
      <c r="B80" s="3">
        <v>4</v>
      </c>
      <c r="C80" s="4">
        <v>49180.5</v>
      </c>
      <c r="D80" s="4">
        <v>6493.6278573690997</v>
      </c>
      <c r="E80" s="4">
        <v>42800.75</v>
      </c>
      <c r="F80" s="4">
        <v>868.65078570159596</v>
      </c>
      <c r="G80" s="5">
        <v>1.15211645721199</v>
      </c>
    </row>
    <row r="81" spans="1:7" x14ac:dyDescent="0.45">
      <c r="A81" s="3" t="s">
        <v>46</v>
      </c>
      <c r="B81" s="3">
        <v>2</v>
      </c>
      <c r="C81" s="4">
        <v>411688</v>
      </c>
      <c r="D81" s="4">
        <v>5721</v>
      </c>
      <c r="E81" s="4">
        <v>496115</v>
      </c>
      <c r="F81" s="4" t="s">
        <v>214</v>
      </c>
      <c r="G81" s="5">
        <v>0.82982373038509205</v>
      </c>
    </row>
    <row r="82" spans="1:7" x14ac:dyDescent="0.45">
      <c r="A82" s="3" t="s">
        <v>94</v>
      </c>
      <c r="B82" s="3">
        <v>3</v>
      </c>
      <c r="C82" s="4">
        <v>3428334.3333333302</v>
      </c>
      <c r="D82" s="4">
        <v>632261.10682656697</v>
      </c>
      <c r="E82" s="4">
        <v>2823587</v>
      </c>
      <c r="F82" s="4">
        <v>93678.920585156098</v>
      </c>
      <c r="G82" s="5">
        <v>1.2107771944227701</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5565D-3CD4-4170-A778-AEBDE51DC00D}">
  <dimension ref="A1:F29"/>
  <sheetViews>
    <sheetView zoomScaleNormal="100" workbookViewId="0"/>
  </sheetViews>
  <sheetFormatPr defaultColWidth="9" defaultRowHeight="16.2" x14ac:dyDescent="0.45"/>
  <cols>
    <col min="1" max="2" width="23.5" style="1" bestFit="1" customWidth="1"/>
    <col min="3" max="3" width="17.19921875" style="1" bestFit="1" customWidth="1"/>
    <col min="4" max="4" width="25.69921875" style="13" bestFit="1" customWidth="1"/>
    <col min="5" max="5" width="27.8984375" style="13" bestFit="1" customWidth="1"/>
    <col min="6" max="6" width="8" style="1" bestFit="1" customWidth="1"/>
    <col min="7" max="16384" width="9" style="1"/>
  </cols>
  <sheetData>
    <row r="1" spans="1:6" ht="32.4" x14ac:dyDescent="0.45">
      <c r="A1" s="1" t="s">
        <v>217</v>
      </c>
      <c r="B1" s="1" t="s">
        <v>216</v>
      </c>
      <c r="C1" s="1" t="s">
        <v>200</v>
      </c>
      <c r="D1" s="12" t="s">
        <v>277</v>
      </c>
      <c r="E1" s="12" t="s">
        <v>279</v>
      </c>
      <c r="F1" s="3" t="s">
        <v>213</v>
      </c>
    </row>
    <row r="2" spans="1:6" x14ac:dyDescent="0.45">
      <c r="A2" s="1" t="s">
        <v>218</v>
      </c>
      <c r="B2" s="1" t="s">
        <v>106</v>
      </c>
      <c r="C2" s="1" t="s">
        <v>201</v>
      </c>
      <c r="D2" s="13">
        <v>1608290.1554404099</v>
      </c>
      <c r="E2" s="13">
        <v>811183</v>
      </c>
      <c r="F2" s="2">
        <f>D2/E2</f>
        <v>1.9826477569677987</v>
      </c>
    </row>
    <row r="3" spans="1:6" x14ac:dyDescent="0.45">
      <c r="A3" s="1" t="s">
        <v>219</v>
      </c>
      <c r="B3" s="1" t="s">
        <v>93</v>
      </c>
      <c r="C3" s="1" t="s">
        <v>201</v>
      </c>
      <c r="D3" s="13">
        <v>1639682.5396825396</v>
      </c>
      <c r="E3" s="13">
        <v>922078</v>
      </c>
      <c r="F3" s="2">
        <f t="shared" ref="F3:F29" si="0">D3/E3</f>
        <v>1.7782471110714491</v>
      </c>
    </row>
    <row r="4" spans="1:6" x14ac:dyDescent="0.45">
      <c r="A4" s="1" t="s">
        <v>220</v>
      </c>
      <c r="B4" s="1" t="s">
        <v>101</v>
      </c>
      <c r="C4" s="1" t="s">
        <v>201</v>
      </c>
      <c r="D4" s="13">
        <v>1566935.4838709678</v>
      </c>
      <c r="E4" s="13">
        <v>816397</v>
      </c>
      <c r="F4" s="2">
        <f t="shared" si="0"/>
        <v>1.9193302815553803</v>
      </c>
    </row>
    <row r="5" spans="1:6" x14ac:dyDescent="0.45">
      <c r="A5" s="1" t="s">
        <v>221</v>
      </c>
      <c r="B5" s="1" t="s">
        <v>74</v>
      </c>
      <c r="C5" s="1" t="s">
        <v>201</v>
      </c>
      <c r="D5" s="13">
        <v>382280.97006773</v>
      </c>
      <c r="E5" s="13">
        <v>283118</v>
      </c>
      <c r="F5" s="2">
        <f t="shared" si="0"/>
        <v>1.3502531455708573</v>
      </c>
    </row>
    <row r="6" spans="1:6" x14ac:dyDescent="0.45">
      <c r="A6" s="1" t="s">
        <v>222</v>
      </c>
      <c r="B6" s="1" t="s">
        <v>58</v>
      </c>
      <c r="C6" s="1" t="s">
        <v>201</v>
      </c>
      <c r="D6" s="13">
        <v>403132.93818797631</v>
      </c>
      <c r="E6" s="13">
        <v>234283</v>
      </c>
      <c r="F6" s="2">
        <f t="shared" si="0"/>
        <v>1.7207093053613634</v>
      </c>
    </row>
    <row r="7" spans="1:6" x14ac:dyDescent="0.45">
      <c r="A7" s="1" t="s">
        <v>223</v>
      </c>
      <c r="B7" s="1" t="s">
        <v>56</v>
      </c>
      <c r="C7" s="1" t="s">
        <v>201</v>
      </c>
      <c r="D7" s="13">
        <v>432820.51282051287</v>
      </c>
      <c r="E7" s="13">
        <v>279741</v>
      </c>
      <c r="F7" s="2">
        <f t="shared" si="0"/>
        <v>1.5472187231064194</v>
      </c>
    </row>
    <row r="8" spans="1:6" x14ac:dyDescent="0.45">
      <c r="A8" s="1" t="s">
        <v>224</v>
      </c>
      <c r="B8" s="1" t="s">
        <v>69</v>
      </c>
      <c r="C8" s="1" t="s">
        <v>201</v>
      </c>
      <c r="D8" s="13">
        <v>412432.62666187569</v>
      </c>
      <c r="E8" s="13">
        <v>344612</v>
      </c>
      <c r="F8" s="2">
        <f t="shared" si="0"/>
        <v>1.1968028584665529</v>
      </c>
    </row>
    <row r="9" spans="1:6" x14ac:dyDescent="0.45">
      <c r="A9" s="1" t="s">
        <v>225</v>
      </c>
      <c r="B9" s="1" t="s">
        <v>64</v>
      </c>
      <c r="C9" s="1" t="s">
        <v>201</v>
      </c>
      <c r="D9" s="13">
        <v>391951.13788487285</v>
      </c>
      <c r="E9" s="13">
        <v>270654</v>
      </c>
      <c r="F9" s="2">
        <f t="shared" si="0"/>
        <v>1.4481631081930171</v>
      </c>
    </row>
    <row r="10" spans="1:6" x14ac:dyDescent="0.45">
      <c r="A10" s="1" t="s">
        <v>226</v>
      </c>
      <c r="B10" s="1" t="s">
        <v>53</v>
      </c>
      <c r="C10" s="1" t="s">
        <v>201</v>
      </c>
      <c r="D10" s="13">
        <v>774682.3069403714</v>
      </c>
      <c r="E10" s="13">
        <v>395897</v>
      </c>
      <c r="F10" s="2">
        <f t="shared" si="0"/>
        <v>1.956777411650938</v>
      </c>
    </row>
    <row r="11" spans="1:6" x14ac:dyDescent="0.45">
      <c r="A11" s="1" t="s">
        <v>227</v>
      </c>
      <c r="B11" s="1" t="s">
        <v>38</v>
      </c>
      <c r="C11" s="1" t="s">
        <v>201</v>
      </c>
      <c r="D11" s="13">
        <v>340373.13432835822</v>
      </c>
      <c r="E11" s="13">
        <v>237082</v>
      </c>
      <c r="F11" s="2">
        <f t="shared" si="0"/>
        <v>1.435676830498976</v>
      </c>
    </row>
    <row r="12" spans="1:6" x14ac:dyDescent="0.45">
      <c r="A12" s="1" t="s">
        <v>228</v>
      </c>
      <c r="B12" s="1" t="s">
        <v>33</v>
      </c>
      <c r="C12" s="1" t="s">
        <v>201</v>
      </c>
      <c r="D12" s="13">
        <v>419952.55666842381</v>
      </c>
      <c r="E12" s="13">
        <v>281084</v>
      </c>
      <c r="F12" s="2">
        <f t="shared" si="0"/>
        <v>1.4940464653570598</v>
      </c>
    </row>
    <row r="13" spans="1:6" x14ac:dyDescent="0.45">
      <c r="A13" s="1" t="s">
        <v>229</v>
      </c>
      <c r="B13" s="1" t="s">
        <v>105</v>
      </c>
      <c r="C13" s="1" t="s">
        <v>201</v>
      </c>
      <c r="D13" s="13">
        <v>3282205.2040343396</v>
      </c>
      <c r="E13" s="13">
        <v>1581005</v>
      </c>
      <c r="F13" s="2">
        <f t="shared" si="0"/>
        <v>2.0760245565537994</v>
      </c>
    </row>
    <row r="14" spans="1:6" x14ac:dyDescent="0.45">
      <c r="A14" s="1" t="s">
        <v>230</v>
      </c>
      <c r="B14" s="1" t="s">
        <v>92</v>
      </c>
      <c r="C14" s="1" t="s">
        <v>201</v>
      </c>
      <c r="D14" s="13">
        <v>3840894.1764220241</v>
      </c>
      <c r="E14" s="13">
        <v>1959657</v>
      </c>
      <c r="F14" s="2">
        <f t="shared" si="0"/>
        <v>1.9599828829341177</v>
      </c>
    </row>
    <row r="15" spans="1:6" x14ac:dyDescent="0.45">
      <c r="A15" s="1" t="s">
        <v>231</v>
      </c>
      <c r="B15" s="1" t="s">
        <v>88</v>
      </c>
      <c r="C15" s="1" t="s">
        <v>201</v>
      </c>
      <c r="D15" s="13">
        <v>4274087.5226945477</v>
      </c>
      <c r="E15" s="13">
        <v>2920091</v>
      </c>
      <c r="F15" s="2">
        <f t="shared" si="0"/>
        <v>1.463682988884438</v>
      </c>
    </row>
    <row r="16" spans="1:6" x14ac:dyDescent="0.45">
      <c r="A16" s="1" t="s">
        <v>232</v>
      </c>
      <c r="B16" s="1" t="s">
        <v>99</v>
      </c>
      <c r="C16" s="1" t="s">
        <v>201</v>
      </c>
      <c r="D16" s="13">
        <v>3862959.2850049646</v>
      </c>
      <c r="E16" s="13">
        <v>2706249</v>
      </c>
      <c r="F16" s="2">
        <f t="shared" si="0"/>
        <v>1.4274219722593762</v>
      </c>
    </row>
    <row r="17" spans="1:6" x14ac:dyDescent="0.45">
      <c r="A17" s="1" t="s">
        <v>233</v>
      </c>
      <c r="B17" s="1" t="s">
        <v>25</v>
      </c>
      <c r="C17" s="1" t="s">
        <v>201</v>
      </c>
      <c r="D17" s="13">
        <v>451935.91455273697</v>
      </c>
      <c r="E17" s="13">
        <v>309033</v>
      </c>
      <c r="F17" s="2">
        <f t="shared" si="0"/>
        <v>1.4624195945181808</v>
      </c>
    </row>
    <row r="18" spans="1:6" x14ac:dyDescent="0.45">
      <c r="A18" s="1" t="s">
        <v>234</v>
      </c>
      <c r="B18" s="1" t="s">
        <v>24</v>
      </c>
      <c r="C18" s="1" t="s">
        <v>201</v>
      </c>
      <c r="D18" s="13">
        <v>451990.44585987262</v>
      </c>
      <c r="E18" s="13">
        <v>388749</v>
      </c>
      <c r="F18" s="2">
        <f t="shared" si="0"/>
        <v>1.1626793788791034</v>
      </c>
    </row>
    <row r="19" spans="1:6" x14ac:dyDescent="0.45">
      <c r="A19" s="1" t="s">
        <v>235</v>
      </c>
      <c r="B19" s="1" t="s">
        <v>23</v>
      </c>
      <c r="C19" s="1" t="s">
        <v>201</v>
      </c>
      <c r="D19" s="13">
        <v>698207.17131474102</v>
      </c>
      <c r="E19" s="13">
        <v>475714</v>
      </c>
      <c r="F19" s="2">
        <f t="shared" si="0"/>
        <v>1.4677036440271698</v>
      </c>
    </row>
    <row r="20" spans="1:6" x14ac:dyDescent="0.45">
      <c r="A20" s="1" t="s">
        <v>236</v>
      </c>
      <c r="B20" s="1" t="s">
        <v>21</v>
      </c>
      <c r="C20" s="1" t="s">
        <v>201</v>
      </c>
      <c r="D20" s="13">
        <v>597775.30589543935</v>
      </c>
      <c r="E20" s="13">
        <v>461424</v>
      </c>
      <c r="F20" s="2">
        <f t="shared" si="0"/>
        <v>1.2955011137163202</v>
      </c>
    </row>
    <row r="21" spans="1:6" x14ac:dyDescent="0.45">
      <c r="A21" s="1" t="s">
        <v>237</v>
      </c>
      <c r="B21" s="1" t="s">
        <v>20</v>
      </c>
      <c r="C21" s="1" t="s">
        <v>201</v>
      </c>
      <c r="D21" s="13">
        <v>648547.0085470085</v>
      </c>
      <c r="E21" s="13">
        <v>397714</v>
      </c>
      <c r="F21" s="2">
        <f t="shared" si="0"/>
        <v>1.6306868969837836</v>
      </c>
    </row>
    <row r="22" spans="1:6" x14ac:dyDescent="0.45">
      <c r="A22" s="1" t="s">
        <v>202</v>
      </c>
      <c r="B22" s="1" t="s">
        <v>202</v>
      </c>
      <c r="C22" s="1" t="s">
        <v>201</v>
      </c>
      <c r="D22" s="13">
        <v>679255.64368517383</v>
      </c>
      <c r="E22" s="13">
        <v>279333</v>
      </c>
      <c r="F22" s="2">
        <f t="shared" si="0"/>
        <v>2.4317056834859248</v>
      </c>
    </row>
    <row r="23" spans="1:6" x14ac:dyDescent="0.45">
      <c r="A23" s="1" t="s">
        <v>203</v>
      </c>
      <c r="B23" s="1" t="s">
        <v>203</v>
      </c>
      <c r="C23" s="1" t="s">
        <v>201</v>
      </c>
      <c r="D23" s="13">
        <v>369525.26799387444</v>
      </c>
      <c r="E23" s="13">
        <v>300761</v>
      </c>
      <c r="F23" s="2">
        <f t="shared" si="0"/>
        <v>1.2286342577457663</v>
      </c>
    </row>
    <row r="24" spans="1:6" x14ac:dyDescent="0.45">
      <c r="A24" s="1" t="s">
        <v>238</v>
      </c>
      <c r="B24" s="1" t="s">
        <v>17</v>
      </c>
      <c r="C24" s="1" t="s">
        <v>201</v>
      </c>
      <c r="D24" s="13">
        <v>353647.05882352946</v>
      </c>
      <c r="E24" s="13">
        <v>262763</v>
      </c>
      <c r="F24" s="2">
        <f t="shared" si="0"/>
        <v>1.3458784487295756</v>
      </c>
    </row>
    <row r="25" spans="1:6" x14ac:dyDescent="0.45">
      <c r="A25" s="1" t="s">
        <v>239</v>
      </c>
      <c r="B25" s="1" t="s">
        <v>13</v>
      </c>
      <c r="C25" s="1" t="s">
        <v>201</v>
      </c>
      <c r="D25" s="13">
        <v>538019.80198019801</v>
      </c>
      <c r="E25" s="13">
        <v>335828</v>
      </c>
      <c r="F25" s="2">
        <f t="shared" si="0"/>
        <v>1.6020695176703492</v>
      </c>
    </row>
    <row r="26" spans="1:6" x14ac:dyDescent="0.45">
      <c r="A26" s="1" t="s">
        <v>240</v>
      </c>
      <c r="B26" s="1" t="s">
        <v>5</v>
      </c>
      <c r="C26" s="1" t="s">
        <v>201</v>
      </c>
      <c r="D26" s="13">
        <v>3823409.4616639474</v>
      </c>
      <c r="E26" s="13">
        <v>5504872</v>
      </c>
      <c r="F26" s="2">
        <f t="shared" si="0"/>
        <v>0.69455011154917812</v>
      </c>
    </row>
    <row r="27" spans="1:6" x14ac:dyDescent="0.45">
      <c r="A27" s="1" t="s">
        <v>241</v>
      </c>
      <c r="B27" s="1" t="s">
        <v>112</v>
      </c>
      <c r="C27" s="1" t="s">
        <v>204</v>
      </c>
      <c r="D27" s="13">
        <v>296116.94837825495</v>
      </c>
      <c r="E27" s="13">
        <v>155768</v>
      </c>
      <c r="F27" s="2">
        <f t="shared" si="0"/>
        <v>1.901012713639868</v>
      </c>
    </row>
    <row r="28" spans="1:6" x14ac:dyDescent="0.45">
      <c r="A28" s="1" t="s">
        <v>242</v>
      </c>
      <c r="B28" s="1" t="s">
        <v>110</v>
      </c>
      <c r="C28" s="1" t="s">
        <v>205</v>
      </c>
      <c r="D28" s="13">
        <v>234016.84945567322</v>
      </c>
      <c r="E28" s="13">
        <v>120832</v>
      </c>
      <c r="F28" s="2">
        <f t="shared" si="0"/>
        <v>1.9367125385301345</v>
      </c>
    </row>
    <row r="29" spans="1:6" x14ac:dyDescent="0.45">
      <c r="A29" s="1" t="s">
        <v>243</v>
      </c>
      <c r="B29" s="1" t="s">
        <v>114</v>
      </c>
      <c r="C29" s="1" t="s">
        <v>204</v>
      </c>
      <c r="D29" s="13">
        <v>273355.62987736898</v>
      </c>
      <c r="E29" s="13">
        <v>366421</v>
      </c>
      <c r="F29" s="2">
        <f t="shared" si="0"/>
        <v>0.74601518438454395</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5566A-C515-4732-BACE-9647214C429D}">
  <dimension ref="A1:K95"/>
  <sheetViews>
    <sheetView workbookViewId="0"/>
  </sheetViews>
  <sheetFormatPr defaultRowHeight="18" x14ac:dyDescent="0.45"/>
  <cols>
    <col min="1" max="1" width="26.59765625" bestFit="1" customWidth="1"/>
    <col min="2" max="2" width="23" bestFit="1" customWidth="1"/>
    <col min="3" max="3" width="11" bestFit="1" customWidth="1"/>
    <col min="4" max="4" width="13.3984375" bestFit="1" customWidth="1"/>
    <col min="5" max="6" width="11" style="14" bestFit="1" customWidth="1"/>
    <col min="7" max="7" width="23.5" style="14" bestFit="1" customWidth="1"/>
    <col min="8" max="8" width="24.5" style="14" bestFit="1" customWidth="1"/>
    <col min="9" max="10" width="25.5" style="14" bestFit="1" customWidth="1"/>
    <col min="11" max="11" width="26.59765625" style="14" bestFit="1" customWidth="1"/>
  </cols>
  <sheetData>
    <row r="1" spans="1:11" x14ac:dyDescent="0.45">
      <c r="A1" s="3" t="s">
        <v>206</v>
      </c>
      <c r="B1" s="3" t="s">
        <v>207</v>
      </c>
      <c r="C1" s="6" t="s">
        <v>133</v>
      </c>
      <c r="D1" s="15" t="s">
        <v>132</v>
      </c>
      <c r="E1" s="15" t="s">
        <v>244</v>
      </c>
      <c r="F1" s="15" t="s">
        <v>245</v>
      </c>
      <c r="G1" s="15" t="s">
        <v>246</v>
      </c>
      <c r="H1" s="15" t="s">
        <v>247</v>
      </c>
      <c r="I1" s="15" t="s">
        <v>249</v>
      </c>
      <c r="J1" s="15" t="s">
        <v>250</v>
      </c>
      <c r="K1" s="15" t="s">
        <v>248</v>
      </c>
    </row>
    <row r="2" spans="1:11" x14ac:dyDescent="0.45">
      <c r="A2" s="6" t="s">
        <v>130</v>
      </c>
      <c r="B2" s="6" t="s">
        <v>131</v>
      </c>
      <c r="C2" s="6" t="s">
        <v>107</v>
      </c>
      <c r="D2" s="6">
        <v>90400</v>
      </c>
      <c r="E2" s="15">
        <v>1985</v>
      </c>
      <c r="F2" s="15">
        <v>2023</v>
      </c>
      <c r="G2" s="15">
        <v>-1.71</v>
      </c>
      <c r="H2" s="15">
        <v>-5.94</v>
      </c>
      <c r="I2" s="15">
        <v>-0.03</v>
      </c>
      <c r="J2" s="15">
        <v>-0.03</v>
      </c>
      <c r="K2" s="15">
        <v>1</v>
      </c>
    </row>
    <row r="3" spans="1:11" x14ac:dyDescent="0.45">
      <c r="A3" s="6" t="s">
        <v>129</v>
      </c>
      <c r="B3" s="6" t="s">
        <v>129</v>
      </c>
      <c r="C3" s="6" t="s">
        <v>107</v>
      </c>
      <c r="D3" s="6">
        <v>63116</v>
      </c>
      <c r="E3" s="15">
        <v>1985</v>
      </c>
      <c r="F3" s="15">
        <v>2023</v>
      </c>
      <c r="G3" s="15">
        <v>-5.2</v>
      </c>
      <c r="H3" s="15">
        <v>4.7300000000000004</v>
      </c>
      <c r="I3" s="15">
        <v>1.0900000000000001</v>
      </c>
      <c r="J3" s="15">
        <v>1.0900000000000001</v>
      </c>
      <c r="K3" s="15">
        <v>2.85</v>
      </c>
    </row>
    <row r="4" spans="1:11" x14ac:dyDescent="0.45">
      <c r="A4" s="6" t="s">
        <v>127</v>
      </c>
      <c r="B4" s="6" t="s">
        <v>128</v>
      </c>
      <c r="C4" s="6" t="s">
        <v>107</v>
      </c>
      <c r="D4" s="6">
        <v>51309</v>
      </c>
      <c r="E4" s="15">
        <v>1985</v>
      </c>
      <c r="F4" s="15">
        <v>2023</v>
      </c>
      <c r="G4" s="15">
        <v>-0.92</v>
      </c>
      <c r="H4" s="15">
        <v>-0.52</v>
      </c>
      <c r="I4" s="15">
        <v>0.95</v>
      </c>
      <c r="J4" s="15">
        <v>0.95</v>
      </c>
      <c r="K4" s="15">
        <v>5.12</v>
      </c>
    </row>
    <row r="5" spans="1:11" x14ac:dyDescent="0.45">
      <c r="A5" s="6" t="s">
        <v>126</v>
      </c>
      <c r="B5" s="6" t="s">
        <v>126</v>
      </c>
      <c r="C5" s="6" t="s">
        <v>107</v>
      </c>
      <c r="D5" s="6">
        <v>48359</v>
      </c>
      <c r="E5" s="15">
        <v>1985</v>
      </c>
      <c r="F5" s="15">
        <v>2023</v>
      </c>
      <c r="G5" s="15">
        <v>-5.55</v>
      </c>
      <c r="H5" s="15">
        <v>-5.21</v>
      </c>
      <c r="I5" s="15">
        <v>1.03</v>
      </c>
      <c r="J5" s="15">
        <v>1.03</v>
      </c>
      <c r="K5" s="15">
        <v>5.45</v>
      </c>
    </row>
    <row r="6" spans="1:11" x14ac:dyDescent="0.45">
      <c r="A6" s="6" t="s">
        <v>125</v>
      </c>
      <c r="B6" s="6" t="s">
        <v>125</v>
      </c>
      <c r="C6" s="6" t="s">
        <v>107</v>
      </c>
      <c r="D6" s="6">
        <v>51000</v>
      </c>
      <c r="E6" s="15">
        <v>1985</v>
      </c>
      <c r="F6" s="15">
        <v>2023</v>
      </c>
      <c r="G6" s="15">
        <v>-7.21</v>
      </c>
      <c r="H6" s="15">
        <v>-35.1</v>
      </c>
      <c r="I6" s="15">
        <v>0.91</v>
      </c>
      <c r="J6" s="15">
        <v>0.91</v>
      </c>
      <c r="K6" s="15">
        <v>4.8499999999999996</v>
      </c>
    </row>
    <row r="7" spans="1:11" x14ac:dyDescent="0.45">
      <c r="A7" s="6" t="s">
        <v>123</v>
      </c>
      <c r="B7" s="6" t="s">
        <v>124</v>
      </c>
      <c r="C7" s="6" t="s">
        <v>107</v>
      </c>
      <c r="D7" s="6">
        <v>518729</v>
      </c>
      <c r="E7" s="15">
        <v>1985</v>
      </c>
      <c r="F7" s="15">
        <v>2023</v>
      </c>
      <c r="G7" s="15">
        <v>2.5</v>
      </c>
      <c r="H7" s="15">
        <v>4.46</v>
      </c>
      <c r="I7" s="15">
        <v>0.96</v>
      </c>
      <c r="J7" s="15">
        <v>0.96</v>
      </c>
      <c r="K7" s="15">
        <v>5.3</v>
      </c>
    </row>
    <row r="8" spans="1:11" x14ac:dyDescent="0.45">
      <c r="A8" s="6" t="s">
        <v>122</v>
      </c>
      <c r="B8" s="6" t="s">
        <v>121</v>
      </c>
      <c r="C8" s="6" t="s">
        <v>107</v>
      </c>
      <c r="D8" s="6">
        <v>39059</v>
      </c>
      <c r="E8" s="15">
        <v>2005</v>
      </c>
      <c r="F8" s="15">
        <v>2023</v>
      </c>
      <c r="G8" s="15">
        <v>-1.1499999999999999</v>
      </c>
      <c r="H8" s="15">
        <v>-0.43</v>
      </c>
      <c r="I8" s="15">
        <v>1.47</v>
      </c>
      <c r="J8" s="15">
        <v>0.97</v>
      </c>
      <c r="K8" s="15">
        <v>4.7699999999999996</v>
      </c>
    </row>
    <row r="9" spans="1:11" x14ac:dyDescent="0.45">
      <c r="A9" s="6" t="s">
        <v>120</v>
      </c>
      <c r="B9" s="6" t="s">
        <v>121</v>
      </c>
      <c r="C9" s="6" t="s">
        <v>107</v>
      </c>
      <c r="D9" s="6">
        <v>22834</v>
      </c>
      <c r="E9" s="15">
        <v>2005</v>
      </c>
      <c r="F9" s="15">
        <v>2023</v>
      </c>
      <c r="G9" s="15">
        <v>-1.1499999999999999</v>
      </c>
      <c r="H9" s="15">
        <v>-0.43</v>
      </c>
      <c r="I9" s="15">
        <v>1.48</v>
      </c>
      <c r="J9" s="15">
        <v>1.05</v>
      </c>
      <c r="K9" s="15">
        <v>5.19</v>
      </c>
    </row>
    <row r="10" spans="1:11" x14ac:dyDescent="0.45">
      <c r="A10" s="6" t="s">
        <v>119</v>
      </c>
      <c r="B10" s="6" t="s">
        <v>119</v>
      </c>
      <c r="C10" s="6" t="s">
        <v>107</v>
      </c>
      <c r="D10" s="6">
        <v>55352</v>
      </c>
      <c r="E10" s="15">
        <v>1985</v>
      </c>
      <c r="F10" s="15">
        <v>2023</v>
      </c>
      <c r="G10" s="15">
        <v>-2.23</v>
      </c>
      <c r="H10" s="15">
        <v>3.17</v>
      </c>
      <c r="I10" s="15">
        <v>1.39</v>
      </c>
      <c r="J10" s="15">
        <v>1.39</v>
      </c>
      <c r="K10" s="15">
        <v>2.46</v>
      </c>
    </row>
    <row r="11" spans="1:11" x14ac:dyDescent="0.45">
      <c r="A11" s="6" t="s">
        <v>118</v>
      </c>
      <c r="B11" s="6" t="s">
        <v>118</v>
      </c>
      <c r="C11" s="6" t="s">
        <v>107</v>
      </c>
      <c r="D11" s="6">
        <v>64393</v>
      </c>
      <c r="E11" s="15">
        <v>1985</v>
      </c>
      <c r="F11" s="15">
        <v>2023</v>
      </c>
      <c r="G11" s="15">
        <v>-0.19</v>
      </c>
      <c r="H11" s="15">
        <v>-1.02</v>
      </c>
      <c r="I11" s="15">
        <v>0.96</v>
      </c>
      <c r="J11" s="15">
        <v>0.96</v>
      </c>
      <c r="K11" s="15">
        <v>5.22</v>
      </c>
    </row>
    <row r="12" spans="1:11" x14ac:dyDescent="0.45">
      <c r="A12" s="6" t="s">
        <v>117</v>
      </c>
      <c r="B12" s="6" t="s">
        <v>117</v>
      </c>
      <c r="C12" s="6" t="s">
        <v>107</v>
      </c>
      <c r="D12" s="6">
        <v>70798</v>
      </c>
      <c r="E12" s="15">
        <v>1985</v>
      </c>
      <c r="F12" s="15">
        <v>2023</v>
      </c>
      <c r="G12" s="15">
        <v>1.78</v>
      </c>
      <c r="H12" s="15">
        <v>-6.7</v>
      </c>
      <c r="I12" s="15">
        <v>0.99</v>
      </c>
      <c r="J12" s="15">
        <v>0.99</v>
      </c>
      <c r="K12" s="15">
        <v>5.69</v>
      </c>
    </row>
    <row r="13" spans="1:11" x14ac:dyDescent="0.45">
      <c r="A13" s="6" t="s">
        <v>116</v>
      </c>
      <c r="B13" s="6" t="s">
        <v>116</v>
      </c>
      <c r="C13" s="6" t="s">
        <v>107</v>
      </c>
      <c r="D13" s="6">
        <v>262335</v>
      </c>
      <c r="E13" s="15">
        <v>1985</v>
      </c>
      <c r="F13" s="15">
        <v>2023</v>
      </c>
      <c r="G13" s="15">
        <v>-0.87</v>
      </c>
      <c r="H13" s="15">
        <v>-2.39</v>
      </c>
      <c r="I13" s="15">
        <v>0.79</v>
      </c>
      <c r="J13" s="15">
        <v>0.79</v>
      </c>
      <c r="K13" s="15">
        <v>4.5599999999999996</v>
      </c>
    </row>
    <row r="14" spans="1:11" x14ac:dyDescent="0.45">
      <c r="A14" s="6" t="s">
        <v>114</v>
      </c>
      <c r="B14" s="6" t="s">
        <v>115</v>
      </c>
      <c r="C14" s="6" t="s">
        <v>107</v>
      </c>
      <c r="D14" s="6">
        <v>366421</v>
      </c>
      <c r="E14" s="15">
        <v>1985</v>
      </c>
      <c r="F14" s="15">
        <v>2023</v>
      </c>
      <c r="G14" s="15">
        <v>-0.72</v>
      </c>
      <c r="H14" s="15">
        <v>2.4500000000000002</v>
      </c>
      <c r="I14" s="15">
        <v>1.05</v>
      </c>
      <c r="J14" s="15">
        <v>1.05</v>
      </c>
      <c r="K14" s="15">
        <v>5.75</v>
      </c>
    </row>
    <row r="15" spans="1:11" x14ac:dyDescent="0.45">
      <c r="A15" s="6" t="s">
        <v>112</v>
      </c>
      <c r="B15" s="6" t="s">
        <v>113</v>
      </c>
      <c r="C15" s="6" t="s">
        <v>107</v>
      </c>
      <c r="D15" s="6">
        <v>155768</v>
      </c>
      <c r="E15" s="15">
        <v>1985</v>
      </c>
      <c r="F15" s="15">
        <v>2023</v>
      </c>
      <c r="G15" s="15">
        <v>0.62</v>
      </c>
      <c r="H15" s="15">
        <v>3.02</v>
      </c>
      <c r="I15" s="15">
        <v>0.89</v>
      </c>
      <c r="J15" s="15">
        <v>0.89</v>
      </c>
      <c r="K15" s="15">
        <v>5.01</v>
      </c>
    </row>
    <row r="16" spans="1:11" x14ac:dyDescent="0.45">
      <c r="A16" s="6" t="s">
        <v>110</v>
      </c>
      <c r="B16" s="6" t="s">
        <v>111</v>
      </c>
      <c r="C16" s="6" t="s">
        <v>107</v>
      </c>
      <c r="D16" s="6">
        <v>120832</v>
      </c>
      <c r="E16" s="15">
        <v>1985</v>
      </c>
      <c r="F16" s="15">
        <v>2023</v>
      </c>
      <c r="G16" s="15">
        <v>1.67</v>
      </c>
      <c r="H16" s="15">
        <v>7.6</v>
      </c>
      <c r="I16" s="15">
        <v>0.92</v>
      </c>
      <c r="J16" s="15">
        <v>0.92</v>
      </c>
      <c r="K16" s="15">
        <v>4.3899999999999997</v>
      </c>
    </row>
    <row r="17" spans="1:11" x14ac:dyDescent="0.45">
      <c r="A17" s="6" t="s">
        <v>109</v>
      </c>
      <c r="B17" s="6" t="s">
        <v>109</v>
      </c>
      <c r="C17" s="6" t="s">
        <v>107</v>
      </c>
      <c r="D17" s="6">
        <v>98827</v>
      </c>
      <c r="E17" s="15">
        <v>1985</v>
      </c>
      <c r="F17" s="15">
        <v>2023</v>
      </c>
      <c r="G17" s="15">
        <v>-1.82</v>
      </c>
      <c r="H17" s="15">
        <v>5.81</v>
      </c>
      <c r="I17" s="15">
        <v>1.1499999999999999</v>
      </c>
      <c r="J17" s="15">
        <v>1.1499999999999999</v>
      </c>
      <c r="K17" s="15">
        <v>6.34</v>
      </c>
    </row>
    <row r="18" spans="1:11" x14ac:dyDescent="0.45">
      <c r="A18" s="6" t="s">
        <v>108</v>
      </c>
      <c r="B18" s="6" t="s">
        <v>108</v>
      </c>
      <c r="C18" s="6" t="s">
        <v>107</v>
      </c>
      <c r="D18" s="6">
        <v>99687</v>
      </c>
      <c r="E18" s="15">
        <v>1985</v>
      </c>
      <c r="F18" s="15">
        <v>2023</v>
      </c>
      <c r="G18" s="15">
        <v>0.2</v>
      </c>
      <c r="H18" s="15">
        <v>2.4700000000000002</v>
      </c>
      <c r="I18" s="15">
        <v>1.69</v>
      </c>
      <c r="J18" s="15">
        <v>1.69</v>
      </c>
      <c r="K18" s="15">
        <v>2.95</v>
      </c>
    </row>
    <row r="19" spans="1:11" x14ac:dyDescent="0.45">
      <c r="A19" s="6" t="s">
        <v>106</v>
      </c>
      <c r="B19" s="6" t="s">
        <v>103</v>
      </c>
      <c r="C19" s="6" t="s">
        <v>75</v>
      </c>
      <c r="D19" s="6">
        <v>811183</v>
      </c>
      <c r="E19" s="15">
        <v>1985</v>
      </c>
      <c r="F19" s="15">
        <v>2023</v>
      </c>
      <c r="G19" s="15">
        <v>0.84</v>
      </c>
      <c r="H19" s="15">
        <v>0.17</v>
      </c>
      <c r="I19" s="15">
        <v>1.02</v>
      </c>
      <c r="J19" s="15">
        <v>1.02</v>
      </c>
      <c r="K19" s="15">
        <v>5.62</v>
      </c>
    </row>
    <row r="20" spans="1:11" x14ac:dyDescent="0.45">
      <c r="A20" s="6" t="s">
        <v>105</v>
      </c>
      <c r="B20" s="6" t="s">
        <v>103</v>
      </c>
      <c r="C20" s="6" t="s">
        <v>75</v>
      </c>
      <c r="D20" s="6">
        <v>1581005</v>
      </c>
      <c r="E20" s="15">
        <v>1985</v>
      </c>
      <c r="F20" s="15">
        <v>2023</v>
      </c>
      <c r="G20" s="15">
        <v>0.84</v>
      </c>
      <c r="H20" s="15">
        <v>0.17</v>
      </c>
      <c r="I20" s="15">
        <v>1.04</v>
      </c>
      <c r="J20" s="15">
        <v>1.04</v>
      </c>
      <c r="K20" s="15">
        <v>5.71</v>
      </c>
    </row>
    <row r="21" spans="1:11" x14ac:dyDescent="0.45">
      <c r="A21" s="6" t="s">
        <v>104</v>
      </c>
      <c r="B21" s="6" t="s">
        <v>103</v>
      </c>
      <c r="C21" s="6" t="s">
        <v>75</v>
      </c>
      <c r="D21" s="6">
        <v>774893</v>
      </c>
      <c r="E21" s="15">
        <v>1985</v>
      </c>
      <c r="F21" s="15">
        <v>2023</v>
      </c>
      <c r="G21" s="15">
        <v>0.84</v>
      </c>
      <c r="H21" s="15">
        <v>0.17</v>
      </c>
      <c r="I21" s="15">
        <v>0.95</v>
      </c>
      <c r="J21" s="15">
        <v>0.95</v>
      </c>
      <c r="K21" s="15">
        <v>5.3</v>
      </c>
    </row>
    <row r="22" spans="1:11" x14ac:dyDescent="0.45">
      <c r="A22" s="6" t="s">
        <v>102</v>
      </c>
      <c r="B22" s="6" t="s">
        <v>103</v>
      </c>
      <c r="C22" s="6" t="s">
        <v>75</v>
      </c>
      <c r="D22" s="6">
        <v>2209272</v>
      </c>
      <c r="E22" s="15">
        <v>1985</v>
      </c>
      <c r="F22" s="15">
        <v>2023</v>
      </c>
      <c r="G22" s="15">
        <v>0.84</v>
      </c>
      <c r="H22" s="15">
        <v>0.17</v>
      </c>
      <c r="I22" s="15">
        <v>1.07</v>
      </c>
      <c r="J22" s="15">
        <v>1.07</v>
      </c>
      <c r="K22" s="15">
        <v>5.83</v>
      </c>
    </row>
    <row r="23" spans="1:11" x14ac:dyDescent="0.45">
      <c r="A23" s="6" t="s">
        <v>101</v>
      </c>
      <c r="B23" s="6" t="s">
        <v>100</v>
      </c>
      <c r="C23" s="6" t="s">
        <v>75</v>
      </c>
      <c r="D23" s="6">
        <v>816397</v>
      </c>
      <c r="E23" s="15">
        <v>1985</v>
      </c>
      <c r="F23" s="15">
        <v>2023</v>
      </c>
      <c r="G23" s="15">
        <v>0.82</v>
      </c>
      <c r="H23" s="15">
        <v>0.06</v>
      </c>
      <c r="I23" s="15">
        <v>1</v>
      </c>
      <c r="J23" s="15">
        <v>1</v>
      </c>
      <c r="K23" s="15">
        <v>5.03</v>
      </c>
    </row>
    <row r="24" spans="1:11" x14ac:dyDescent="0.45">
      <c r="A24" s="6" t="s">
        <v>99</v>
      </c>
      <c r="B24" s="6" t="s">
        <v>100</v>
      </c>
      <c r="C24" s="6" t="s">
        <v>75</v>
      </c>
      <c r="D24" s="6">
        <v>2706249</v>
      </c>
      <c r="E24" s="15">
        <v>1985</v>
      </c>
      <c r="F24" s="15">
        <v>2023</v>
      </c>
      <c r="G24" s="15">
        <v>0.82</v>
      </c>
      <c r="H24" s="15">
        <v>0.06</v>
      </c>
      <c r="I24" s="15">
        <v>1.04</v>
      </c>
      <c r="J24" s="15">
        <v>1.04</v>
      </c>
      <c r="K24" s="15">
        <v>6.23</v>
      </c>
    </row>
    <row r="25" spans="1:11" x14ac:dyDescent="0.45">
      <c r="A25" s="6" t="s">
        <v>98</v>
      </c>
      <c r="B25" s="6" t="s">
        <v>95</v>
      </c>
      <c r="C25" s="6" t="s">
        <v>75</v>
      </c>
      <c r="D25" s="6">
        <v>722710</v>
      </c>
      <c r="E25" s="15">
        <v>1985</v>
      </c>
      <c r="F25" s="15">
        <v>2023</v>
      </c>
      <c r="G25" s="15">
        <v>1.27</v>
      </c>
      <c r="H25" s="15">
        <v>1.93</v>
      </c>
      <c r="I25" s="15">
        <v>0.98</v>
      </c>
      <c r="J25" s="15">
        <v>0.98</v>
      </c>
      <c r="K25" s="15">
        <v>5.28</v>
      </c>
    </row>
    <row r="26" spans="1:11" x14ac:dyDescent="0.45">
      <c r="A26" s="6" t="s">
        <v>97</v>
      </c>
      <c r="B26" s="6" t="s">
        <v>95</v>
      </c>
      <c r="C26" s="6" t="s">
        <v>75</v>
      </c>
      <c r="D26" s="6">
        <v>2491549</v>
      </c>
      <c r="E26" s="15">
        <v>1985</v>
      </c>
      <c r="F26" s="15">
        <v>2023</v>
      </c>
      <c r="G26" s="15">
        <v>1.27</v>
      </c>
      <c r="H26" s="15">
        <v>1.93</v>
      </c>
      <c r="I26" s="15">
        <v>1.06</v>
      </c>
      <c r="J26" s="15">
        <v>1.06</v>
      </c>
      <c r="K26" s="15">
        <v>5.92</v>
      </c>
    </row>
    <row r="27" spans="1:11" x14ac:dyDescent="0.45">
      <c r="A27" s="6" t="s">
        <v>96</v>
      </c>
      <c r="B27" s="6" t="s">
        <v>95</v>
      </c>
      <c r="C27" s="6" t="s">
        <v>75</v>
      </c>
      <c r="D27" s="6">
        <v>1305790</v>
      </c>
      <c r="E27" s="15">
        <v>1985</v>
      </c>
      <c r="F27" s="15">
        <v>2023</v>
      </c>
      <c r="G27" s="15">
        <v>1.27</v>
      </c>
      <c r="H27" s="15">
        <v>1.93</v>
      </c>
      <c r="I27" s="15">
        <v>0.96</v>
      </c>
      <c r="J27" s="15">
        <v>0.96</v>
      </c>
      <c r="K27" s="15">
        <v>5.18</v>
      </c>
    </row>
    <row r="28" spans="1:11" x14ac:dyDescent="0.45">
      <c r="A28" s="6" t="s">
        <v>94</v>
      </c>
      <c r="B28" s="6" t="s">
        <v>95</v>
      </c>
      <c r="C28" s="6" t="s">
        <v>75</v>
      </c>
      <c r="D28" s="6">
        <v>3352968</v>
      </c>
      <c r="E28" s="15">
        <v>1985</v>
      </c>
      <c r="F28" s="15">
        <v>2023</v>
      </c>
      <c r="G28" s="15">
        <v>1.27</v>
      </c>
      <c r="H28" s="15">
        <v>1.93</v>
      </c>
      <c r="I28" s="15">
        <v>1.08</v>
      </c>
      <c r="J28" s="15">
        <v>1.08</v>
      </c>
      <c r="K28" s="15">
        <v>6.11</v>
      </c>
    </row>
    <row r="29" spans="1:11" x14ac:dyDescent="0.45">
      <c r="A29" s="6" t="s">
        <v>93</v>
      </c>
      <c r="B29" s="6" t="s">
        <v>86</v>
      </c>
      <c r="C29" s="6" t="s">
        <v>75</v>
      </c>
      <c r="D29" s="6">
        <v>922078</v>
      </c>
      <c r="E29" s="15">
        <v>1985</v>
      </c>
      <c r="F29" s="15">
        <v>2023</v>
      </c>
      <c r="G29" s="15">
        <v>0.53</v>
      </c>
      <c r="H29" s="15">
        <v>4.82</v>
      </c>
      <c r="I29" s="15">
        <v>0.93</v>
      </c>
      <c r="J29" s="15">
        <v>0.93</v>
      </c>
      <c r="K29" s="15">
        <v>5.05</v>
      </c>
    </row>
    <row r="30" spans="1:11" x14ac:dyDescent="0.45">
      <c r="A30" s="6" t="s">
        <v>92</v>
      </c>
      <c r="B30" s="6" t="s">
        <v>86</v>
      </c>
      <c r="C30" s="6" t="s">
        <v>75</v>
      </c>
      <c r="D30" s="6">
        <v>1959657</v>
      </c>
      <c r="E30" s="15">
        <v>1985</v>
      </c>
      <c r="F30" s="15">
        <v>2023</v>
      </c>
      <c r="G30" s="15">
        <v>0.53</v>
      </c>
      <c r="H30" s="15">
        <v>4.82</v>
      </c>
      <c r="I30" s="15">
        <v>0.98</v>
      </c>
      <c r="J30" s="15">
        <v>0.98</v>
      </c>
      <c r="K30" s="15">
        <v>5.4</v>
      </c>
    </row>
    <row r="31" spans="1:11" x14ac:dyDescent="0.45">
      <c r="A31" s="6" t="s">
        <v>91</v>
      </c>
      <c r="B31" s="6" t="s">
        <v>86</v>
      </c>
      <c r="C31" s="6" t="s">
        <v>75</v>
      </c>
      <c r="D31" s="6">
        <v>1421911</v>
      </c>
      <c r="E31" s="15">
        <v>1985</v>
      </c>
      <c r="F31" s="15">
        <v>2023</v>
      </c>
      <c r="G31" s="15">
        <v>0.53</v>
      </c>
      <c r="H31" s="15">
        <v>4.82</v>
      </c>
      <c r="I31" s="15">
        <v>0.97</v>
      </c>
      <c r="J31" s="15">
        <v>0.97</v>
      </c>
      <c r="K31" s="15">
        <v>5.39</v>
      </c>
    </row>
    <row r="32" spans="1:11" x14ac:dyDescent="0.45">
      <c r="A32" s="6" t="s">
        <v>90</v>
      </c>
      <c r="B32" s="6" t="s">
        <v>86</v>
      </c>
      <c r="C32" s="6" t="s">
        <v>75</v>
      </c>
      <c r="D32" s="6">
        <v>2401520</v>
      </c>
      <c r="E32" s="15">
        <v>1985</v>
      </c>
      <c r="F32" s="15">
        <v>2023</v>
      </c>
      <c r="G32" s="15">
        <v>0.53</v>
      </c>
      <c r="H32" s="15">
        <v>4.82</v>
      </c>
      <c r="I32" s="15">
        <v>0.99</v>
      </c>
      <c r="J32" s="15">
        <v>0.99</v>
      </c>
      <c r="K32" s="15">
        <v>5.42</v>
      </c>
    </row>
    <row r="33" spans="1:11" x14ac:dyDescent="0.45">
      <c r="A33" s="6" t="s">
        <v>89</v>
      </c>
      <c r="B33" s="6" t="s">
        <v>86</v>
      </c>
      <c r="C33" s="6" t="s">
        <v>75</v>
      </c>
      <c r="D33" s="6">
        <v>1313871</v>
      </c>
      <c r="E33" s="15">
        <v>1985</v>
      </c>
      <c r="F33" s="15">
        <v>2023</v>
      </c>
      <c r="G33" s="15">
        <v>0.53</v>
      </c>
      <c r="H33" s="15">
        <v>4.82</v>
      </c>
      <c r="I33" s="15">
        <v>1</v>
      </c>
      <c r="J33" s="15">
        <v>1</v>
      </c>
      <c r="K33" s="15">
        <v>5.7</v>
      </c>
    </row>
    <row r="34" spans="1:11" x14ac:dyDescent="0.45">
      <c r="A34" s="6" t="s">
        <v>88</v>
      </c>
      <c r="B34" s="6" t="s">
        <v>86</v>
      </c>
      <c r="C34" s="6" t="s">
        <v>75</v>
      </c>
      <c r="D34" s="6">
        <v>2920091</v>
      </c>
      <c r="E34" s="15">
        <v>1985</v>
      </c>
      <c r="F34" s="15">
        <v>2023</v>
      </c>
      <c r="G34" s="15">
        <v>0.53</v>
      </c>
      <c r="H34" s="15">
        <v>4.82</v>
      </c>
      <c r="I34" s="15">
        <v>1.02</v>
      </c>
      <c r="J34" s="15">
        <v>1.02</v>
      </c>
      <c r="K34" s="15">
        <v>5.61</v>
      </c>
    </row>
    <row r="35" spans="1:11" x14ac:dyDescent="0.45">
      <c r="A35" s="6" t="s">
        <v>87</v>
      </c>
      <c r="B35" s="6" t="s">
        <v>86</v>
      </c>
      <c r="C35" s="6" t="s">
        <v>75</v>
      </c>
      <c r="D35" s="6">
        <v>1457168</v>
      </c>
      <c r="E35" s="15">
        <v>1985</v>
      </c>
      <c r="F35" s="15">
        <v>2023</v>
      </c>
      <c r="G35" s="15">
        <v>0.53</v>
      </c>
      <c r="H35" s="15">
        <v>4.82</v>
      </c>
      <c r="I35" s="15">
        <v>1.02</v>
      </c>
      <c r="J35" s="15">
        <v>1.02</v>
      </c>
      <c r="K35" s="15">
        <v>5.63</v>
      </c>
    </row>
    <row r="36" spans="1:11" x14ac:dyDescent="0.45">
      <c r="A36" s="6" t="s">
        <v>85</v>
      </c>
      <c r="B36" s="6" t="s">
        <v>86</v>
      </c>
      <c r="C36" s="6" t="s">
        <v>75</v>
      </c>
      <c r="D36" s="6">
        <v>3799278</v>
      </c>
      <c r="E36" s="15">
        <v>1985</v>
      </c>
      <c r="F36" s="15">
        <v>2023</v>
      </c>
      <c r="G36" s="15">
        <v>0.53</v>
      </c>
      <c r="H36" s="15">
        <v>4.82</v>
      </c>
      <c r="I36" s="15">
        <v>1.02</v>
      </c>
      <c r="J36" s="15">
        <v>1.02</v>
      </c>
      <c r="K36" s="15">
        <v>5.6</v>
      </c>
    </row>
    <row r="37" spans="1:11" x14ac:dyDescent="0.45">
      <c r="A37" s="6" t="s">
        <v>84</v>
      </c>
      <c r="B37" s="6" t="s">
        <v>83</v>
      </c>
      <c r="C37" s="6" t="s">
        <v>75</v>
      </c>
      <c r="D37" s="6">
        <v>439646</v>
      </c>
      <c r="E37" s="15">
        <v>1985</v>
      </c>
      <c r="F37" s="15">
        <v>2023</v>
      </c>
      <c r="G37" s="15">
        <v>1.21</v>
      </c>
      <c r="H37" s="15">
        <v>7.65</v>
      </c>
      <c r="I37" s="15">
        <v>0.9</v>
      </c>
      <c r="J37" s="15">
        <v>0.9</v>
      </c>
      <c r="K37" s="15">
        <v>4.55</v>
      </c>
    </row>
    <row r="38" spans="1:11" x14ac:dyDescent="0.45">
      <c r="A38" s="6" t="s">
        <v>82</v>
      </c>
      <c r="B38" s="6" t="s">
        <v>83</v>
      </c>
      <c r="C38" s="6" t="s">
        <v>75</v>
      </c>
      <c r="D38" s="6">
        <v>529928</v>
      </c>
      <c r="E38" s="15">
        <v>1985</v>
      </c>
      <c r="F38" s="15">
        <v>2023</v>
      </c>
      <c r="G38" s="15">
        <v>1.21</v>
      </c>
      <c r="H38" s="15">
        <v>7.65</v>
      </c>
      <c r="I38" s="15">
        <v>0.94</v>
      </c>
      <c r="J38" s="15">
        <v>0.94</v>
      </c>
      <c r="K38" s="15">
        <v>5.68</v>
      </c>
    </row>
    <row r="39" spans="1:11" x14ac:dyDescent="0.45">
      <c r="A39" s="6" t="s">
        <v>80</v>
      </c>
      <c r="B39" s="6" t="s">
        <v>81</v>
      </c>
      <c r="C39" s="6" t="s">
        <v>75</v>
      </c>
      <c r="D39" s="6">
        <v>347744</v>
      </c>
      <c r="E39" s="15">
        <v>1985</v>
      </c>
      <c r="F39" s="15">
        <v>2023</v>
      </c>
      <c r="G39" s="15">
        <v>1.01</v>
      </c>
      <c r="H39" s="15">
        <v>1.89</v>
      </c>
      <c r="I39" s="15">
        <v>1.1599999999999999</v>
      </c>
      <c r="J39" s="15">
        <v>1.02</v>
      </c>
      <c r="K39" s="15">
        <v>5.5</v>
      </c>
    </row>
    <row r="40" spans="1:11" x14ac:dyDescent="0.45">
      <c r="A40" s="6" t="s">
        <v>78</v>
      </c>
      <c r="B40" s="6" t="s">
        <v>79</v>
      </c>
      <c r="C40" s="6" t="s">
        <v>75</v>
      </c>
      <c r="D40" s="6">
        <v>983458</v>
      </c>
      <c r="E40" s="15">
        <v>1985</v>
      </c>
      <c r="F40" s="15">
        <v>2023</v>
      </c>
      <c r="G40" s="15">
        <v>-0.62</v>
      </c>
      <c r="H40" s="15">
        <v>5.0999999999999996</v>
      </c>
      <c r="I40" s="15">
        <v>1.05</v>
      </c>
      <c r="J40" s="15">
        <v>1.05</v>
      </c>
      <c r="K40" s="15">
        <v>6.05</v>
      </c>
    </row>
    <row r="41" spans="1:11" x14ac:dyDescent="0.45">
      <c r="A41" s="6" t="s">
        <v>76</v>
      </c>
      <c r="B41" s="6" t="s">
        <v>77</v>
      </c>
      <c r="C41" s="6" t="s">
        <v>75</v>
      </c>
      <c r="D41" s="6">
        <v>2492662</v>
      </c>
      <c r="E41" s="15">
        <v>1985</v>
      </c>
      <c r="F41" s="15">
        <v>2023</v>
      </c>
      <c r="G41" s="15">
        <v>1.03</v>
      </c>
      <c r="H41" s="15">
        <v>3.05</v>
      </c>
      <c r="I41" s="15">
        <v>0.99</v>
      </c>
      <c r="J41" s="15">
        <v>0.99</v>
      </c>
      <c r="K41" s="15">
        <v>6.13</v>
      </c>
    </row>
    <row r="42" spans="1:11" x14ac:dyDescent="0.45">
      <c r="A42" s="6" t="s">
        <v>74</v>
      </c>
      <c r="B42" s="6" t="s">
        <v>71</v>
      </c>
      <c r="C42" s="6" t="s">
        <v>39</v>
      </c>
      <c r="D42" s="6">
        <v>283118</v>
      </c>
      <c r="E42" s="15">
        <v>1985</v>
      </c>
      <c r="F42" s="15">
        <v>2023</v>
      </c>
      <c r="G42" s="15">
        <v>0.15</v>
      </c>
      <c r="H42" s="15">
        <v>3.11</v>
      </c>
      <c r="I42" s="15">
        <v>0.97</v>
      </c>
      <c r="J42" s="15">
        <v>0.97</v>
      </c>
      <c r="K42" s="15">
        <v>5.25</v>
      </c>
    </row>
    <row r="43" spans="1:11" x14ac:dyDescent="0.45">
      <c r="A43" s="6" t="s">
        <v>73</v>
      </c>
      <c r="B43" s="6" t="s">
        <v>71</v>
      </c>
      <c r="C43" s="6" t="s">
        <v>39</v>
      </c>
      <c r="D43" s="6">
        <v>271912</v>
      </c>
      <c r="E43" s="15">
        <v>1985</v>
      </c>
      <c r="F43" s="15">
        <v>2023</v>
      </c>
      <c r="G43" s="15">
        <v>0.15</v>
      </c>
      <c r="H43" s="15">
        <v>3.11</v>
      </c>
      <c r="I43" s="15">
        <v>0.97</v>
      </c>
      <c r="J43" s="15">
        <v>0.97</v>
      </c>
      <c r="K43" s="15">
        <v>5.34</v>
      </c>
    </row>
    <row r="44" spans="1:11" x14ac:dyDescent="0.45">
      <c r="A44" s="6" t="s">
        <v>72</v>
      </c>
      <c r="B44" s="6" t="s">
        <v>71</v>
      </c>
      <c r="C44" s="6" t="s">
        <v>39</v>
      </c>
      <c r="D44" s="6">
        <v>303246</v>
      </c>
      <c r="E44" s="15">
        <v>1985</v>
      </c>
      <c r="F44" s="15">
        <v>2023</v>
      </c>
      <c r="G44" s="15">
        <v>0.15</v>
      </c>
      <c r="H44" s="15">
        <v>3.11</v>
      </c>
      <c r="I44" s="15">
        <v>0.92</v>
      </c>
      <c r="J44" s="15">
        <v>0.92</v>
      </c>
      <c r="K44" s="15">
        <v>5.0599999999999996</v>
      </c>
    </row>
    <row r="45" spans="1:11" x14ac:dyDescent="0.45">
      <c r="A45" s="6" t="s">
        <v>70</v>
      </c>
      <c r="B45" s="6" t="s">
        <v>71</v>
      </c>
      <c r="C45" s="6" t="s">
        <v>39</v>
      </c>
      <c r="D45" s="6">
        <v>274547</v>
      </c>
      <c r="E45" s="15">
        <v>1985</v>
      </c>
      <c r="F45" s="15">
        <v>2023</v>
      </c>
      <c r="G45" s="15">
        <v>0.15</v>
      </c>
      <c r="H45" s="15">
        <v>3.11</v>
      </c>
      <c r="I45" s="15">
        <v>1</v>
      </c>
      <c r="J45" s="15">
        <v>1</v>
      </c>
      <c r="K45" s="15">
        <v>5.34</v>
      </c>
    </row>
    <row r="46" spans="1:11" x14ac:dyDescent="0.45">
      <c r="A46" s="6" t="s">
        <v>69</v>
      </c>
      <c r="B46" s="6" t="s">
        <v>66</v>
      </c>
      <c r="C46" s="6" t="s">
        <v>39</v>
      </c>
      <c r="D46" s="6">
        <v>344612</v>
      </c>
      <c r="E46" s="15">
        <v>1985</v>
      </c>
      <c r="F46" s="15">
        <v>2023</v>
      </c>
      <c r="G46" s="15">
        <v>-0.64</v>
      </c>
      <c r="H46" s="15">
        <v>2.27</v>
      </c>
      <c r="I46" s="15">
        <v>0.97</v>
      </c>
      <c r="J46" s="15">
        <v>0.97</v>
      </c>
      <c r="K46" s="15">
        <v>5.29</v>
      </c>
    </row>
    <row r="47" spans="1:11" x14ac:dyDescent="0.45">
      <c r="A47" s="6" t="s">
        <v>68</v>
      </c>
      <c r="B47" s="6" t="s">
        <v>66</v>
      </c>
      <c r="C47" s="6" t="s">
        <v>39</v>
      </c>
      <c r="D47" s="6">
        <v>313364</v>
      </c>
      <c r="E47" s="15">
        <v>1985</v>
      </c>
      <c r="F47" s="15">
        <v>2023</v>
      </c>
      <c r="G47" s="15">
        <v>-0.64</v>
      </c>
      <c r="H47" s="15">
        <v>2.27</v>
      </c>
      <c r="I47" s="15">
        <v>0.97</v>
      </c>
      <c r="J47" s="15">
        <v>0.97</v>
      </c>
      <c r="K47" s="15">
        <v>5.36</v>
      </c>
    </row>
    <row r="48" spans="1:11" x14ac:dyDescent="0.45">
      <c r="A48" s="6" t="s">
        <v>67</v>
      </c>
      <c r="B48" s="6" t="s">
        <v>66</v>
      </c>
      <c r="C48" s="6" t="s">
        <v>39</v>
      </c>
      <c r="D48" s="6">
        <v>322868</v>
      </c>
      <c r="E48" s="15">
        <v>1985</v>
      </c>
      <c r="F48" s="15">
        <v>2023</v>
      </c>
      <c r="G48" s="15">
        <v>-0.64</v>
      </c>
      <c r="H48" s="15">
        <v>2.27</v>
      </c>
      <c r="I48" s="15">
        <v>0.94</v>
      </c>
      <c r="J48" s="15">
        <v>0.94</v>
      </c>
      <c r="K48" s="15">
        <v>4.9400000000000004</v>
      </c>
    </row>
    <row r="49" spans="1:11" x14ac:dyDescent="0.45">
      <c r="A49" s="6" t="s">
        <v>65</v>
      </c>
      <c r="B49" s="6" t="s">
        <v>66</v>
      </c>
      <c r="C49" s="6" t="s">
        <v>39</v>
      </c>
      <c r="D49" s="6">
        <v>382372</v>
      </c>
      <c r="E49" s="15">
        <v>1985</v>
      </c>
      <c r="F49" s="15">
        <v>2023</v>
      </c>
      <c r="G49" s="15">
        <v>-0.64</v>
      </c>
      <c r="H49" s="15">
        <v>2.27</v>
      </c>
      <c r="I49" s="15">
        <v>1.02</v>
      </c>
      <c r="J49" s="15">
        <v>1.02</v>
      </c>
      <c r="K49" s="15">
        <v>5.57</v>
      </c>
    </row>
    <row r="50" spans="1:11" x14ac:dyDescent="0.45">
      <c r="A50" s="6" t="s">
        <v>64</v>
      </c>
      <c r="B50" s="6" t="s">
        <v>61</v>
      </c>
      <c r="C50" s="6" t="s">
        <v>39</v>
      </c>
      <c r="D50" s="6">
        <v>270654</v>
      </c>
      <c r="E50" s="15">
        <v>1985</v>
      </c>
      <c r="F50" s="15">
        <v>2023</v>
      </c>
      <c r="G50" s="15">
        <v>0.22</v>
      </c>
      <c r="H50" s="15">
        <v>1.32</v>
      </c>
      <c r="I50" s="15">
        <v>0.92</v>
      </c>
      <c r="J50" s="15">
        <v>0.92</v>
      </c>
      <c r="K50" s="15">
        <v>5.07</v>
      </c>
    </row>
    <row r="51" spans="1:11" x14ac:dyDescent="0.45">
      <c r="A51" s="6" t="s">
        <v>63</v>
      </c>
      <c r="B51" s="6" t="s">
        <v>61</v>
      </c>
      <c r="C51" s="6" t="s">
        <v>39</v>
      </c>
      <c r="D51" s="6">
        <v>338068</v>
      </c>
      <c r="E51" s="15">
        <v>1985</v>
      </c>
      <c r="F51" s="15">
        <v>2023</v>
      </c>
      <c r="G51" s="15">
        <v>0.22</v>
      </c>
      <c r="H51" s="15">
        <v>1.32</v>
      </c>
      <c r="I51" s="15">
        <v>0.89</v>
      </c>
      <c r="J51" s="15">
        <v>0.89</v>
      </c>
      <c r="K51" s="15">
        <v>4.9000000000000004</v>
      </c>
    </row>
    <row r="52" spans="1:11" x14ac:dyDescent="0.45">
      <c r="A52" s="6" t="s">
        <v>62</v>
      </c>
      <c r="B52" s="6" t="s">
        <v>61</v>
      </c>
      <c r="C52" s="6" t="s">
        <v>39</v>
      </c>
      <c r="D52" s="6">
        <v>352520</v>
      </c>
      <c r="E52" s="15">
        <v>1985</v>
      </c>
      <c r="F52" s="15">
        <v>2023</v>
      </c>
      <c r="G52" s="15">
        <v>0.22</v>
      </c>
      <c r="H52" s="15">
        <v>1.32</v>
      </c>
      <c r="I52" s="15">
        <v>0.86</v>
      </c>
      <c r="J52" s="15">
        <v>0.86</v>
      </c>
      <c r="K52" s="15">
        <v>4.57</v>
      </c>
    </row>
    <row r="53" spans="1:11" x14ac:dyDescent="0.45">
      <c r="A53" s="6" t="s">
        <v>60</v>
      </c>
      <c r="B53" s="6" t="s">
        <v>61</v>
      </c>
      <c r="C53" s="6" t="s">
        <v>39</v>
      </c>
      <c r="D53" s="6">
        <v>244667</v>
      </c>
      <c r="E53" s="15">
        <v>1985</v>
      </c>
      <c r="F53" s="15">
        <v>2023</v>
      </c>
      <c r="G53" s="15">
        <v>0.22</v>
      </c>
      <c r="H53" s="15">
        <v>1.32</v>
      </c>
      <c r="I53" s="15">
        <v>0.95</v>
      </c>
      <c r="J53" s="15">
        <v>0.95</v>
      </c>
      <c r="K53" s="15">
        <v>5.26</v>
      </c>
    </row>
    <row r="54" spans="1:11" x14ac:dyDescent="0.45">
      <c r="A54" s="6" t="s">
        <v>58</v>
      </c>
      <c r="B54" s="6" t="s">
        <v>59</v>
      </c>
      <c r="C54" s="6" t="s">
        <v>39</v>
      </c>
      <c r="D54" s="6">
        <v>234283</v>
      </c>
      <c r="E54" s="15">
        <v>1985</v>
      </c>
      <c r="F54" s="15">
        <v>2023</v>
      </c>
      <c r="G54" s="15">
        <v>1.48</v>
      </c>
      <c r="H54" s="15">
        <v>0.75</v>
      </c>
      <c r="I54" s="15">
        <v>1.01</v>
      </c>
      <c r="J54" s="15">
        <v>1.01</v>
      </c>
      <c r="K54" s="15">
        <v>5.31</v>
      </c>
    </row>
    <row r="55" spans="1:11" x14ac:dyDescent="0.45">
      <c r="A55" s="6" t="s">
        <v>56</v>
      </c>
      <c r="B55" s="6" t="s">
        <v>57</v>
      </c>
      <c r="C55" s="6" t="s">
        <v>39</v>
      </c>
      <c r="D55" s="6">
        <v>279741</v>
      </c>
      <c r="E55" s="15">
        <v>1985</v>
      </c>
      <c r="F55" s="15">
        <v>2023</v>
      </c>
      <c r="G55" s="15">
        <v>1.98</v>
      </c>
      <c r="H55" s="15">
        <v>17.32</v>
      </c>
      <c r="I55" s="15">
        <v>0.95</v>
      </c>
      <c r="J55" s="15">
        <v>0.95</v>
      </c>
      <c r="K55" s="15">
        <v>4.95</v>
      </c>
    </row>
    <row r="56" spans="1:11" x14ac:dyDescent="0.45">
      <c r="A56" s="6" t="s">
        <v>54</v>
      </c>
      <c r="B56" s="6" t="s">
        <v>55</v>
      </c>
      <c r="C56" s="6" t="s">
        <v>39</v>
      </c>
      <c r="D56" s="6">
        <v>422349</v>
      </c>
      <c r="E56" s="15">
        <v>1985</v>
      </c>
      <c r="F56" s="15">
        <v>2023</v>
      </c>
      <c r="G56" s="15">
        <v>3.47</v>
      </c>
      <c r="H56" s="15">
        <v>-1.75</v>
      </c>
      <c r="I56" s="15">
        <v>1.03</v>
      </c>
      <c r="J56" s="15">
        <v>1.03</v>
      </c>
      <c r="K56" s="15">
        <v>5.31</v>
      </c>
    </row>
    <row r="57" spans="1:11" x14ac:dyDescent="0.45">
      <c r="A57" s="6" t="s">
        <v>53</v>
      </c>
      <c r="B57" s="6" t="s">
        <v>50</v>
      </c>
      <c r="C57" s="6" t="s">
        <v>39</v>
      </c>
      <c r="D57" s="6">
        <v>395897</v>
      </c>
      <c r="E57" s="15">
        <v>2000</v>
      </c>
      <c r="F57" s="15">
        <v>2023</v>
      </c>
      <c r="G57" s="15">
        <v>1.76</v>
      </c>
      <c r="H57" s="15">
        <v>4.41</v>
      </c>
      <c r="I57" s="15">
        <v>1.35</v>
      </c>
      <c r="J57" s="15">
        <v>0.96</v>
      </c>
      <c r="K57" s="15">
        <v>4.88</v>
      </c>
    </row>
    <row r="58" spans="1:11" x14ac:dyDescent="0.45">
      <c r="A58" s="6" t="s">
        <v>52</v>
      </c>
      <c r="B58" s="6" t="s">
        <v>50</v>
      </c>
      <c r="C58" s="6" t="s">
        <v>39</v>
      </c>
      <c r="D58" s="6">
        <v>457599</v>
      </c>
      <c r="E58" s="15">
        <v>2000</v>
      </c>
      <c r="F58" s="15">
        <v>2023</v>
      </c>
      <c r="G58" s="15">
        <v>1.76</v>
      </c>
      <c r="H58" s="15">
        <v>4.41</v>
      </c>
      <c r="I58" s="15">
        <v>1.41</v>
      </c>
      <c r="J58" s="15">
        <v>0.97</v>
      </c>
      <c r="K58" s="15">
        <v>5.14</v>
      </c>
    </row>
    <row r="59" spans="1:11" x14ac:dyDescent="0.45">
      <c r="A59" s="6" t="s">
        <v>51</v>
      </c>
      <c r="B59" s="6" t="s">
        <v>50</v>
      </c>
      <c r="C59" s="6" t="s">
        <v>39</v>
      </c>
      <c r="D59" s="6">
        <v>451025</v>
      </c>
      <c r="E59" s="15">
        <v>2000</v>
      </c>
      <c r="F59" s="15">
        <v>2023</v>
      </c>
      <c r="G59" s="15">
        <v>1.76</v>
      </c>
      <c r="H59" s="15">
        <v>4.41</v>
      </c>
      <c r="I59" s="15">
        <v>1.27</v>
      </c>
      <c r="J59" s="15">
        <v>0.93</v>
      </c>
      <c r="K59" s="15">
        <v>4.4800000000000004</v>
      </c>
    </row>
    <row r="60" spans="1:11" x14ac:dyDescent="0.45">
      <c r="A60" s="6" t="s">
        <v>49</v>
      </c>
      <c r="B60" s="6" t="s">
        <v>50</v>
      </c>
      <c r="C60" s="6" t="s">
        <v>39</v>
      </c>
      <c r="D60" s="6">
        <v>356967</v>
      </c>
      <c r="E60" s="15">
        <v>2000</v>
      </c>
      <c r="F60" s="15">
        <v>2023</v>
      </c>
      <c r="G60" s="15">
        <v>1.76</v>
      </c>
      <c r="H60" s="15">
        <v>4.41</v>
      </c>
      <c r="I60" s="15">
        <v>1.39</v>
      </c>
      <c r="J60" s="15">
        <v>0.97</v>
      </c>
      <c r="K60" s="15">
        <v>5.04</v>
      </c>
    </row>
    <row r="61" spans="1:11" x14ac:dyDescent="0.45">
      <c r="A61" s="6" t="s">
        <v>48</v>
      </c>
      <c r="B61" s="6" t="s">
        <v>41</v>
      </c>
      <c r="C61" s="6" t="s">
        <v>39</v>
      </c>
      <c r="D61" s="6">
        <v>529173</v>
      </c>
      <c r="E61" s="15">
        <v>2000</v>
      </c>
      <c r="F61" s="15">
        <v>2023</v>
      </c>
      <c r="G61" s="15">
        <v>1.71</v>
      </c>
      <c r="H61" s="15">
        <v>2.44</v>
      </c>
      <c r="I61" s="15">
        <v>1.55</v>
      </c>
      <c r="J61" s="15">
        <v>0.97</v>
      </c>
      <c r="K61" s="15">
        <v>5.96</v>
      </c>
    </row>
    <row r="62" spans="1:11" x14ac:dyDescent="0.45">
      <c r="A62" s="6" t="s">
        <v>47</v>
      </c>
      <c r="B62" s="6" t="s">
        <v>41</v>
      </c>
      <c r="C62" s="6" t="s">
        <v>39</v>
      </c>
      <c r="D62" s="6">
        <v>436820</v>
      </c>
      <c r="E62" s="15">
        <v>2000</v>
      </c>
      <c r="F62" s="15">
        <v>2023</v>
      </c>
      <c r="G62" s="15">
        <v>1.71</v>
      </c>
      <c r="H62" s="15">
        <v>2.44</v>
      </c>
      <c r="I62" s="15">
        <v>1.53</v>
      </c>
      <c r="J62" s="15">
        <v>1.01</v>
      </c>
      <c r="K62" s="15">
        <v>5.77</v>
      </c>
    </row>
    <row r="63" spans="1:11" x14ac:dyDescent="0.45">
      <c r="A63" s="6" t="s">
        <v>46</v>
      </c>
      <c r="B63" s="6" t="s">
        <v>41</v>
      </c>
      <c r="C63" s="6" t="s">
        <v>39</v>
      </c>
      <c r="D63" s="6">
        <v>601430</v>
      </c>
      <c r="E63" s="15">
        <v>2000</v>
      </c>
      <c r="F63" s="15">
        <v>2023</v>
      </c>
      <c r="G63" s="15">
        <v>1.71</v>
      </c>
      <c r="H63" s="15">
        <v>2.44</v>
      </c>
      <c r="I63" s="15">
        <v>1.43</v>
      </c>
      <c r="J63" s="15">
        <v>0.84</v>
      </c>
      <c r="K63" s="15">
        <v>5.33</v>
      </c>
    </row>
    <row r="64" spans="1:11" x14ac:dyDescent="0.45">
      <c r="A64" s="6" t="s">
        <v>45</v>
      </c>
      <c r="B64" s="6" t="s">
        <v>41</v>
      </c>
      <c r="C64" s="6" t="s">
        <v>39</v>
      </c>
      <c r="D64" s="6">
        <v>538601</v>
      </c>
      <c r="E64" s="15">
        <v>2000</v>
      </c>
      <c r="F64" s="15">
        <v>2023</v>
      </c>
      <c r="G64" s="15">
        <v>1.71</v>
      </c>
      <c r="H64" s="15">
        <v>2.44</v>
      </c>
      <c r="I64" s="15">
        <v>1.6</v>
      </c>
      <c r="J64" s="15">
        <v>1.01</v>
      </c>
      <c r="K64" s="15">
        <v>6.22</v>
      </c>
    </row>
    <row r="65" spans="1:11" x14ac:dyDescent="0.45">
      <c r="A65" s="6" t="s">
        <v>44</v>
      </c>
      <c r="B65" s="6" t="s">
        <v>41</v>
      </c>
      <c r="C65" s="6" t="s">
        <v>39</v>
      </c>
      <c r="D65" s="6">
        <v>721241</v>
      </c>
      <c r="E65" s="15">
        <v>2000</v>
      </c>
      <c r="F65" s="15">
        <v>2023</v>
      </c>
      <c r="G65" s="15">
        <v>1.71</v>
      </c>
      <c r="H65" s="15">
        <v>2.44</v>
      </c>
      <c r="I65" s="15">
        <v>1.2</v>
      </c>
      <c r="J65" s="15">
        <v>0.92</v>
      </c>
      <c r="K65" s="15">
        <v>4.7699999999999996</v>
      </c>
    </row>
    <row r="66" spans="1:11" x14ac:dyDescent="0.45">
      <c r="A66" s="6" t="s">
        <v>43</v>
      </c>
      <c r="B66" s="6" t="s">
        <v>41</v>
      </c>
      <c r="C66" s="6" t="s">
        <v>39</v>
      </c>
      <c r="D66" s="6">
        <v>676060</v>
      </c>
      <c r="E66" s="15">
        <v>2000</v>
      </c>
      <c r="F66" s="15">
        <v>2023</v>
      </c>
      <c r="G66" s="15">
        <v>1.71</v>
      </c>
      <c r="H66" s="15">
        <v>2.44</v>
      </c>
      <c r="I66" s="15">
        <v>1.21</v>
      </c>
      <c r="J66" s="15">
        <v>0.93</v>
      </c>
      <c r="K66" s="15">
        <v>4.8</v>
      </c>
    </row>
    <row r="67" spans="1:11" x14ac:dyDescent="0.45">
      <c r="A67" s="6" t="s">
        <v>42</v>
      </c>
      <c r="B67" s="6" t="s">
        <v>41</v>
      </c>
      <c r="C67" s="6" t="s">
        <v>39</v>
      </c>
      <c r="D67" s="6">
        <v>539560</v>
      </c>
      <c r="E67" s="15">
        <v>2000</v>
      </c>
      <c r="F67" s="15">
        <v>2023</v>
      </c>
      <c r="G67" s="15">
        <v>1.71</v>
      </c>
      <c r="H67" s="15">
        <v>2.44</v>
      </c>
      <c r="I67" s="15">
        <v>1.22</v>
      </c>
      <c r="J67" s="15">
        <v>0.93</v>
      </c>
      <c r="K67" s="15">
        <v>4.7300000000000004</v>
      </c>
    </row>
    <row r="68" spans="1:11" x14ac:dyDescent="0.45">
      <c r="A68" s="6" t="s">
        <v>40</v>
      </c>
      <c r="B68" s="6" t="s">
        <v>41</v>
      </c>
      <c r="C68" s="6" t="s">
        <v>39</v>
      </c>
      <c r="D68" s="6">
        <v>815329</v>
      </c>
      <c r="E68" s="15">
        <v>2000</v>
      </c>
      <c r="F68" s="15">
        <v>2023</v>
      </c>
      <c r="G68" s="15">
        <v>1.71</v>
      </c>
      <c r="H68" s="15">
        <v>2.44</v>
      </c>
      <c r="I68" s="15">
        <v>1.2</v>
      </c>
      <c r="J68" s="15">
        <v>0.92</v>
      </c>
      <c r="K68" s="15">
        <v>4.7699999999999996</v>
      </c>
    </row>
    <row r="69" spans="1:11" x14ac:dyDescent="0.45">
      <c r="A69" s="6" t="s">
        <v>38</v>
      </c>
      <c r="B69" s="6" t="s">
        <v>35</v>
      </c>
      <c r="C69" s="6" t="s">
        <v>26</v>
      </c>
      <c r="D69" s="6">
        <v>237082</v>
      </c>
      <c r="E69" s="15">
        <v>1985</v>
      </c>
      <c r="F69" s="15">
        <v>2023</v>
      </c>
      <c r="G69" s="15">
        <v>0.62</v>
      </c>
      <c r="H69" s="15">
        <v>10.89</v>
      </c>
      <c r="I69" s="15">
        <v>0.94</v>
      </c>
      <c r="J69" s="15">
        <v>0.94</v>
      </c>
      <c r="K69" s="15">
        <v>4.68</v>
      </c>
    </row>
    <row r="70" spans="1:11" x14ac:dyDescent="0.45">
      <c r="A70" s="6" t="s">
        <v>37</v>
      </c>
      <c r="B70" s="6" t="s">
        <v>35</v>
      </c>
      <c r="C70" s="6" t="s">
        <v>26</v>
      </c>
      <c r="D70" s="6">
        <v>267521</v>
      </c>
      <c r="E70" s="15">
        <v>1985</v>
      </c>
      <c r="F70" s="15">
        <v>2023</v>
      </c>
      <c r="G70" s="15">
        <v>0.62</v>
      </c>
      <c r="H70" s="15">
        <v>10.89</v>
      </c>
      <c r="I70" s="15">
        <v>0.93</v>
      </c>
      <c r="J70" s="15">
        <v>0.93</v>
      </c>
      <c r="K70" s="15">
        <v>4.82</v>
      </c>
    </row>
    <row r="71" spans="1:11" x14ac:dyDescent="0.45">
      <c r="A71" s="6" t="s">
        <v>36</v>
      </c>
      <c r="B71" s="6" t="s">
        <v>35</v>
      </c>
      <c r="C71" s="6" t="s">
        <v>26</v>
      </c>
      <c r="D71" s="6">
        <v>271642</v>
      </c>
      <c r="E71" s="15">
        <v>1985</v>
      </c>
      <c r="F71" s="15">
        <v>2023</v>
      </c>
      <c r="G71" s="15">
        <v>0.62</v>
      </c>
      <c r="H71" s="15">
        <v>10.89</v>
      </c>
      <c r="I71" s="15">
        <v>0.89</v>
      </c>
      <c r="J71" s="15">
        <v>0.89</v>
      </c>
      <c r="K71" s="15">
        <v>4.28</v>
      </c>
    </row>
    <row r="72" spans="1:11" x14ac:dyDescent="0.45">
      <c r="A72" s="6" t="s">
        <v>34</v>
      </c>
      <c r="B72" s="6" t="s">
        <v>35</v>
      </c>
      <c r="C72" s="6" t="s">
        <v>26</v>
      </c>
      <c r="D72" s="6">
        <v>222426</v>
      </c>
      <c r="E72" s="15">
        <v>1985</v>
      </c>
      <c r="F72" s="15">
        <v>2023</v>
      </c>
      <c r="G72" s="15">
        <v>0.62</v>
      </c>
      <c r="H72" s="15">
        <v>10.89</v>
      </c>
      <c r="I72" s="15">
        <v>0.96</v>
      </c>
      <c r="J72" s="15">
        <v>0.96</v>
      </c>
      <c r="K72" s="15">
        <v>4.78</v>
      </c>
    </row>
    <row r="73" spans="1:11" x14ac:dyDescent="0.45">
      <c r="A73" s="6" t="s">
        <v>33</v>
      </c>
      <c r="B73" s="6" t="s">
        <v>30</v>
      </c>
      <c r="C73" s="6" t="s">
        <v>26</v>
      </c>
      <c r="D73" s="6">
        <v>281084</v>
      </c>
      <c r="E73" s="15">
        <v>1985</v>
      </c>
      <c r="F73" s="15">
        <v>2023</v>
      </c>
      <c r="G73" s="15">
        <v>0.42</v>
      </c>
      <c r="H73" s="15">
        <v>9.77</v>
      </c>
      <c r="I73" s="15">
        <v>0.97</v>
      </c>
      <c r="J73" s="15">
        <v>0.97</v>
      </c>
      <c r="K73" s="15">
        <v>4.88</v>
      </c>
    </row>
    <row r="74" spans="1:11" x14ac:dyDescent="0.45">
      <c r="A74" s="6" t="s">
        <v>32</v>
      </c>
      <c r="B74" s="6" t="s">
        <v>30</v>
      </c>
      <c r="C74" s="6" t="s">
        <v>26</v>
      </c>
      <c r="D74" s="6">
        <v>418054</v>
      </c>
      <c r="E74" s="15">
        <v>1985</v>
      </c>
      <c r="F74" s="15">
        <v>2023</v>
      </c>
      <c r="G74" s="15">
        <v>0.42</v>
      </c>
      <c r="H74" s="15">
        <v>9.77</v>
      </c>
      <c r="I74" s="15">
        <v>0.99</v>
      </c>
      <c r="J74" s="15">
        <v>0.99</v>
      </c>
      <c r="K74" s="15">
        <v>5.28</v>
      </c>
    </row>
    <row r="75" spans="1:11" x14ac:dyDescent="0.45">
      <c r="A75" s="6" t="s">
        <v>31</v>
      </c>
      <c r="B75" s="6" t="s">
        <v>30</v>
      </c>
      <c r="C75" s="6" t="s">
        <v>26</v>
      </c>
      <c r="D75" s="6">
        <v>232872</v>
      </c>
      <c r="E75" s="15">
        <v>1985</v>
      </c>
      <c r="F75" s="15">
        <v>2023</v>
      </c>
      <c r="G75" s="15">
        <v>0.42</v>
      </c>
      <c r="H75" s="15">
        <v>9.77</v>
      </c>
      <c r="I75" s="15">
        <v>0.92</v>
      </c>
      <c r="J75" s="15">
        <v>0.92</v>
      </c>
      <c r="K75" s="15">
        <v>4.4400000000000004</v>
      </c>
    </row>
    <row r="76" spans="1:11" x14ac:dyDescent="0.45">
      <c r="A76" s="6" t="s">
        <v>29</v>
      </c>
      <c r="B76" s="6" t="s">
        <v>30</v>
      </c>
      <c r="C76" s="6" t="s">
        <v>26</v>
      </c>
      <c r="D76" s="6">
        <v>247501</v>
      </c>
      <c r="E76" s="15">
        <v>1985</v>
      </c>
      <c r="F76" s="15">
        <v>2023</v>
      </c>
      <c r="G76" s="15">
        <v>0.42</v>
      </c>
      <c r="H76" s="15">
        <v>9.77</v>
      </c>
      <c r="I76" s="15">
        <v>1.01</v>
      </c>
      <c r="J76" s="15">
        <v>1.01</v>
      </c>
      <c r="K76" s="15">
        <v>4.97</v>
      </c>
    </row>
    <row r="77" spans="1:11" x14ac:dyDescent="0.45">
      <c r="A77" s="6" t="s">
        <v>27</v>
      </c>
      <c r="B77" s="6" t="s">
        <v>28</v>
      </c>
      <c r="C77" s="6" t="s">
        <v>26</v>
      </c>
      <c r="D77" s="6">
        <v>218078</v>
      </c>
      <c r="E77" s="15">
        <v>1985</v>
      </c>
      <c r="F77" s="15">
        <v>2023</v>
      </c>
      <c r="G77" s="15">
        <v>1.9</v>
      </c>
      <c r="H77" s="15">
        <v>1.24</v>
      </c>
      <c r="I77" s="15">
        <v>1</v>
      </c>
      <c r="J77" s="15">
        <v>1</v>
      </c>
      <c r="K77" s="15">
        <v>5.33</v>
      </c>
    </row>
    <row r="78" spans="1:11" x14ac:dyDescent="0.45">
      <c r="A78" s="6" t="s">
        <v>25</v>
      </c>
      <c r="B78" s="6" t="s">
        <v>25</v>
      </c>
      <c r="C78" s="6" t="s">
        <v>10</v>
      </c>
      <c r="D78" s="6">
        <v>309033</v>
      </c>
      <c r="E78" s="15">
        <v>1985</v>
      </c>
      <c r="F78" s="15">
        <v>2023</v>
      </c>
      <c r="G78" s="15">
        <v>0.78</v>
      </c>
      <c r="H78" s="15">
        <v>6.71</v>
      </c>
      <c r="I78" s="15">
        <v>0.85</v>
      </c>
      <c r="J78" s="15">
        <v>0.85</v>
      </c>
      <c r="K78" s="15">
        <v>4.07</v>
      </c>
    </row>
    <row r="79" spans="1:11" x14ac:dyDescent="0.45">
      <c r="A79" s="6" t="s">
        <v>24</v>
      </c>
      <c r="B79" s="6" t="s">
        <v>24</v>
      </c>
      <c r="C79" s="6" t="s">
        <v>10</v>
      </c>
      <c r="D79" s="6">
        <v>388749</v>
      </c>
      <c r="E79" s="15">
        <v>1985</v>
      </c>
      <c r="F79" s="15">
        <v>2023</v>
      </c>
      <c r="G79" s="15">
        <v>1.55</v>
      </c>
      <c r="H79" s="15">
        <v>2.9</v>
      </c>
      <c r="I79" s="15">
        <v>1.01</v>
      </c>
      <c r="J79" s="15">
        <v>1.01</v>
      </c>
      <c r="K79" s="15">
        <v>5.24</v>
      </c>
    </row>
    <row r="80" spans="1:11" x14ac:dyDescent="0.45">
      <c r="A80" s="6" t="s">
        <v>23</v>
      </c>
      <c r="B80" s="6" t="s">
        <v>23</v>
      </c>
      <c r="C80" s="6" t="s">
        <v>10</v>
      </c>
      <c r="D80" s="6">
        <v>475714</v>
      </c>
      <c r="E80" s="15">
        <v>1985</v>
      </c>
      <c r="F80" s="15">
        <v>2023</v>
      </c>
      <c r="G80" s="15">
        <v>1.94</v>
      </c>
      <c r="H80" s="15">
        <v>5.99</v>
      </c>
      <c r="I80" s="15">
        <v>0.95</v>
      </c>
      <c r="J80" s="15">
        <v>0.95</v>
      </c>
      <c r="K80" s="15">
        <v>5.55</v>
      </c>
    </row>
    <row r="81" spans="1:11" x14ac:dyDescent="0.45">
      <c r="A81" s="6" t="s">
        <v>21</v>
      </c>
      <c r="B81" s="6" t="s">
        <v>22</v>
      </c>
      <c r="C81" s="6" t="s">
        <v>10</v>
      </c>
      <c r="D81" s="6">
        <v>461424</v>
      </c>
      <c r="E81" s="15">
        <v>1985</v>
      </c>
      <c r="F81" s="15">
        <v>2023</v>
      </c>
      <c r="G81" s="15">
        <v>1.32</v>
      </c>
      <c r="H81" s="15">
        <v>2.52</v>
      </c>
      <c r="I81" s="15">
        <v>0.9</v>
      </c>
      <c r="J81" s="15">
        <v>0.9</v>
      </c>
      <c r="K81" s="15">
        <v>4.99</v>
      </c>
    </row>
    <row r="82" spans="1:11" x14ac:dyDescent="0.45">
      <c r="A82" s="6" t="s">
        <v>20</v>
      </c>
      <c r="B82" s="6" t="s">
        <v>20</v>
      </c>
      <c r="C82" s="6" t="s">
        <v>10</v>
      </c>
      <c r="D82" s="6">
        <v>397714</v>
      </c>
      <c r="E82" s="15">
        <v>1985</v>
      </c>
      <c r="F82" s="15">
        <v>2023</v>
      </c>
      <c r="G82" s="15">
        <v>1.84</v>
      </c>
      <c r="H82" s="15">
        <v>2.88</v>
      </c>
      <c r="I82" s="15">
        <v>0.89</v>
      </c>
      <c r="J82" s="15">
        <v>0.89</v>
      </c>
      <c r="K82" s="15">
        <v>4.4800000000000004</v>
      </c>
    </row>
    <row r="83" spans="1:11" x14ac:dyDescent="0.45">
      <c r="A83" s="6" t="s">
        <v>19</v>
      </c>
      <c r="B83" s="6" t="s">
        <v>19</v>
      </c>
      <c r="C83" s="6" t="s">
        <v>10</v>
      </c>
      <c r="D83" s="6">
        <v>279333</v>
      </c>
      <c r="E83" s="15">
        <v>1985</v>
      </c>
      <c r="F83" s="15">
        <v>2023</v>
      </c>
      <c r="G83" s="15">
        <v>0.04</v>
      </c>
      <c r="H83" s="15">
        <v>5.92</v>
      </c>
      <c r="I83" s="15">
        <v>0.91</v>
      </c>
      <c r="J83" s="15">
        <v>0.91</v>
      </c>
      <c r="K83" s="15">
        <v>4.5999999999999996</v>
      </c>
    </row>
    <row r="84" spans="1:11" x14ac:dyDescent="0.45">
      <c r="A84" s="6" t="s">
        <v>18</v>
      </c>
      <c r="B84" s="6" t="s">
        <v>18</v>
      </c>
      <c r="C84" s="6" t="s">
        <v>10</v>
      </c>
      <c r="D84" s="6">
        <v>570681</v>
      </c>
      <c r="E84" s="15">
        <v>2000</v>
      </c>
      <c r="F84" s="15">
        <v>2023</v>
      </c>
      <c r="G84" s="15">
        <v>1.61</v>
      </c>
      <c r="H84" s="15">
        <v>7.63</v>
      </c>
      <c r="I84" s="15">
        <v>1.26</v>
      </c>
      <c r="J84" s="15">
        <v>0.92</v>
      </c>
      <c r="K84" s="15">
        <v>4.96</v>
      </c>
    </row>
    <row r="85" spans="1:11" x14ac:dyDescent="0.45">
      <c r="A85" s="6" t="s">
        <v>17</v>
      </c>
      <c r="B85" s="6" t="s">
        <v>17</v>
      </c>
      <c r="C85" s="6" t="s">
        <v>10</v>
      </c>
      <c r="D85" s="6">
        <v>262763</v>
      </c>
      <c r="E85" s="15">
        <v>1985</v>
      </c>
      <c r="F85" s="15">
        <v>2023</v>
      </c>
      <c r="G85" s="15">
        <v>1.73</v>
      </c>
      <c r="H85" s="15">
        <v>4.04</v>
      </c>
      <c r="I85" s="15">
        <v>0.97</v>
      </c>
      <c r="J85" s="15">
        <v>0.97</v>
      </c>
      <c r="K85" s="15">
        <v>5.3</v>
      </c>
    </row>
    <row r="86" spans="1:11" x14ac:dyDescent="0.45">
      <c r="A86" s="6" t="s">
        <v>16</v>
      </c>
      <c r="B86" s="6" t="s">
        <v>16</v>
      </c>
      <c r="C86" s="6" t="s">
        <v>10</v>
      </c>
      <c r="D86" s="6">
        <v>223961</v>
      </c>
      <c r="E86" s="15">
        <v>1985</v>
      </c>
      <c r="F86" s="15">
        <v>2023</v>
      </c>
      <c r="G86" s="15">
        <v>0.22</v>
      </c>
      <c r="H86" s="15">
        <v>3.96</v>
      </c>
      <c r="I86" s="15">
        <v>1.02</v>
      </c>
      <c r="J86" s="15">
        <v>1.02</v>
      </c>
      <c r="K86" s="15">
        <v>4.63</v>
      </c>
    </row>
    <row r="87" spans="1:11" x14ac:dyDescent="0.45">
      <c r="A87" s="6" t="s">
        <v>15</v>
      </c>
      <c r="B87" s="6" t="s">
        <v>15</v>
      </c>
      <c r="C87" s="6" t="s">
        <v>10</v>
      </c>
      <c r="D87" s="6">
        <v>300761</v>
      </c>
      <c r="E87" s="15">
        <v>1985</v>
      </c>
      <c r="F87" s="15">
        <v>2023</v>
      </c>
      <c r="G87" s="15">
        <v>-0.91</v>
      </c>
      <c r="H87" s="15">
        <v>-10.08</v>
      </c>
      <c r="I87" s="15">
        <v>0.96</v>
      </c>
      <c r="J87" s="15">
        <v>0.96</v>
      </c>
      <c r="K87" s="15">
        <v>5.22</v>
      </c>
    </row>
    <row r="88" spans="1:11" x14ac:dyDescent="0.45">
      <c r="A88" s="6" t="s">
        <v>14</v>
      </c>
      <c r="B88" s="6" t="s">
        <v>14</v>
      </c>
      <c r="C88" s="6" t="s">
        <v>10</v>
      </c>
      <c r="D88" s="6">
        <v>66797</v>
      </c>
      <c r="E88" s="15">
        <v>1985</v>
      </c>
      <c r="F88" s="15">
        <v>2023</v>
      </c>
      <c r="G88" s="15">
        <v>2.0699999999999998</v>
      </c>
      <c r="H88" s="15">
        <v>24.25</v>
      </c>
      <c r="I88" s="15">
        <v>1.02</v>
      </c>
      <c r="J88" s="15">
        <v>1.02</v>
      </c>
      <c r="K88" s="15">
        <v>4.5999999999999996</v>
      </c>
    </row>
    <row r="89" spans="1:11" x14ac:dyDescent="0.45">
      <c r="A89" s="6" t="s">
        <v>13</v>
      </c>
      <c r="B89" s="6" t="s">
        <v>13</v>
      </c>
      <c r="C89" s="6" t="s">
        <v>10</v>
      </c>
      <c r="D89" s="6">
        <v>335828</v>
      </c>
      <c r="E89" s="15">
        <v>2000</v>
      </c>
      <c r="F89" s="15">
        <v>2023</v>
      </c>
      <c r="G89" s="15">
        <v>1.87</v>
      </c>
      <c r="H89" s="15">
        <v>1.43</v>
      </c>
      <c r="I89" s="15">
        <v>1.35</v>
      </c>
      <c r="J89" s="15">
        <v>0.92</v>
      </c>
      <c r="K89" s="15">
        <v>4.9000000000000004</v>
      </c>
    </row>
    <row r="90" spans="1:11" x14ac:dyDescent="0.45">
      <c r="A90" s="6" t="s">
        <v>11</v>
      </c>
      <c r="B90" s="6" t="s">
        <v>12</v>
      </c>
      <c r="C90" s="6" t="s">
        <v>10</v>
      </c>
      <c r="D90" s="6">
        <v>225704</v>
      </c>
      <c r="E90" s="15">
        <v>1985</v>
      </c>
      <c r="F90" s="15">
        <v>2023</v>
      </c>
      <c r="G90" s="15">
        <v>-0.55000000000000004</v>
      </c>
      <c r="H90" s="15">
        <v>1.4</v>
      </c>
      <c r="I90" s="15">
        <v>0.96</v>
      </c>
      <c r="J90" s="15">
        <v>0.96</v>
      </c>
      <c r="K90" s="15">
        <v>4.5999999999999996</v>
      </c>
    </row>
    <row r="91" spans="1:11" x14ac:dyDescent="0.45">
      <c r="A91" s="6" t="s">
        <v>9</v>
      </c>
      <c r="B91" s="6" t="s">
        <v>8</v>
      </c>
      <c r="C91" s="6" t="s">
        <v>0</v>
      </c>
      <c r="D91" s="6">
        <v>723098</v>
      </c>
      <c r="E91" s="15">
        <v>1985</v>
      </c>
      <c r="F91" s="15">
        <v>2023</v>
      </c>
      <c r="G91" s="15">
        <v>0.21</v>
      </c>
      <c r="H91" s="15">
        <v>2.35</v>
      </c>
      <c r="I91" s="15">
        <v>0.93</v>
      </c>
      <c r="J91" s="15">
        <v>0.93</v>
      </c>
      <c r="K91" s="15">
        <v>4.96</v>
      </c>
    </row>
    <row r="92" spans="1:11" x14ac:dyDescent="0.45">
      <c r="A92" s="6" t="s">
        <v>7</v>
      </c>
      <c r="B92" s="6" t="s">
        <v>8</v>
      </c>
      <c r="C92" s="6" t="s">
        <v>0</v>
      </c>
      <c r="D92" s="6">
        <v>1843562</v>
      </c>
      <c r="E92" s="15">
        <v>1985</v>
      </c>
      <c r="F92" s="15">
        <v>2023</v>
      </c>
      <c r="G92" s="15">
        <v>0.21</v>
      </c>
      <c r="H92" s="15">
        <v>2.35</v>
      </c>
      <c r="I92" s="15">
        <v>1.02</v>
      </c>
      <c r="J92" s="15">
        <v>1.02</v>
      </c>
      <c r="K92" s="15">
        <v>5.91</v>
      </c>
    </row>
    <row r="93" spans="1:11" x14ac:dyDescent="0.45">
      <c r="A93" s="6" t="s">
        <v>5</v>
      </c>
      <c r="B93" s="6" t="s">
        <v>6</v>
      </c>
      <c r="C93" s="6" t="s">
        <v>0</v>
      </c>
      <c r="D93" s="6">
        <v>5504872</v>
      </c>
      <c r="E93" s="15">
        <v>1985</v>
      </c>
      <c r="F93" s="15">
        <v>2023</v>
      </c>
      <c r="G93" s="15">
        <v>0.52</v>
      </c>
      <c r="H93" s="15">
        <v>3.8</v>
      </c>
      <c r="I93" s="15">
        <v>1.05</v>
      </c>
      <c r="J93" s="15">
        <v>1.05</v>
      </c>
      <c r="K93" s="15">
        <v>5.63</v>
      </c>
    </row>
    <row r="94" spans="1:11" x14ac:dyDescent="0.45">
      <c r="A94" s="6" t="s">
        <v>3</v>
      </c>
      <c r="B94" s="6" t="s">
        <v>4</v>
      </c>
      <c r="C94" s="6" t="s">
        <v>0</v>
      </c>
      <c r="D94" s="6">
        <v>4518098</v>
      </c>
      <c r="E94" s="15">
        <v>1985</v>
      </c>
      <c r="F94" s="15">
        <v>2023</v>
      </c>
      <c r="G94" s="15">
        <v>0.63</v>
      </c>
      <c r="H94" s="15">
        <v>4.91</v>
      </c>
      <c r="I94" s="15">
        <v>1.06</v>
      </c>
      <c r="J94" s="15">
        <v>1.06</v>
      </c>
      <c r="K94" s="15">
        <v>4.78</v>
      </c>
    </row>
    <row r="95" spans="1:11" x14ac:dyDescent="0.45">
      <c r="A95" s="6" t="s">
        <v>1</v>
      </c>
      <c r="B95" s="6" t="s">
        <v>2</v>
      </c>
      <c r="C95" s="6" t="s">
        <v>0</v>
      </c>
      <c r="D95" s="6">
        <v>5125312</v>
      </c>
      <c r="E95" s="15">
        <v>2000</v>
      </c>
      <c r="F95" s="15">
        <v>2023</v>
      </c>
      <c r="G95" s="15">
        <v>0.98</v>
      </c>
      <c r="H95" s="15">
        <v>0.53</v>
      </c>
      <c r="I95" s="15">
        <v>1.34</v>
      </c>
      <c r="J95" s="15">
        <v>0.99</v>
      </c>
      <c r="K95" s="15">
        <v>4.6399999999999997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付表説明</vt:lpstr>
      <vt:lpstr>付表1</vt:lpstr>
      <vt:lpstr>付表2</vt:lpstr>
      <vt:lpstr>付表3</vt:lpstr>
      <vt:lpstr>付表4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永井　孝志</dc:creator>
  <cp:lastModifiedBy>永井　孝志</cp:lastModifiedBy>
  <dcterms:created xsi:type="dcterms:W3CDTF">2025-12-23T09:23:22Z</dcterms:created>
  <dcterms:modified xsi:type="dcterms:W3CDTF">2026-01-07T09:49:05Z</dcterms:modified>
</cp:coreProperties>
</file>